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🧮 Calculadora" sheetId="2" state="visible" r:id="rId4"/>
    <sheet name="📦 Datos_Comparativo" sheetId="3" state="visible" r:id="rId5"/>
    <sheet name="⚙️ Supuestos" sheetId="4" state="visible" r:id="rId6"/>
  </sheets>
  <definedNames>
    <definedName function="false" hidden="true" localSheetId="2" name="_xlnm._FilterDatabase" vbProcedure="false">'📦 Datos_Comparativo'!$A$1:$N$55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<sst xmlns="http://schemas.openxmlformats.org/spreadsheetml/2006/main" count="205" uniqueCount="97">
  <si>
    <t xml:space="preserve">BJX MOTORS  ×  BRAME</t>
  </si>
  <si>
    <t xml:space="preserve">Resumen Ejecutivo — Comparativo de rentabilidad por servicio y modelo · Tarifa actualizada Brame</t>
  </si>
  <si>
    <t xml:space="preserve">SERVICIOS</t>
  </si>
  <si>
    <t xml:space="preserve">MODELOS</t>
  </si>
  <si>
    <t xml:space="preserve">MARGEN PROMEDIO</t>
  </si>
  <si>
    <t xml:space="preserve">COMBOS CRÍTICOS</t>
  </si>
  <si>
    <t xml:space="preserve">conceptos analizados</t>
  </si>
  <si>
    <t xml:space="preserve">vehículos en catálogo</t>
  </si>
  <si>
    <t xml:space="preserve">vs objetivo 40%</t>
  </si>
  <si>
    <t xml:space="preserve">de 120 combinaciones</t>
  </si>
  <si>
    <t xml:space="preserve">RENTABILIDAD POR MODELO</t>
  </si>
  <si>
    <t xml:space="preserve">Modelo</t>
  </si>
  <si>
    <t xml:space="preserve">Servicios</t>
  </si>
  <si>
    <t xml:space="preserve">Costo BJX Prom. ($)</t>
  </si>
  <si>
    <t xml:space="preserve">Precio Brame Prom. ($)</t>
  </si>
  <si>
    <t xml:space="preserve">Margen $ Prom.</t>
  </si>
  <si>
    <t xml:space="preserve">Margen %</t>
  </si>
  <si>
    <t xml:space="preserve">Semáforo</t>
  </si>
  <si>
    <t xml:space="preserve">CHEVROLET - AVEO</t>
  </si>
  <si>
    <t xml:space="preserve">● &lt;30% Crítico</t>
  </si>
  <si>
    <t xml:space="preserve">CHEVROLET - BEAT</t>
  </si>
  <si>
    <t xml:space="preserve">CHEVROLET - TORNADO PU</t>
  </si>
  <si>
    <t xml:space="preserve">CHEVROLET - TORNADO VAN</t>
  </si>
  <si>
    <t xml:space="preserve">NISSAN MARCH</t>
  </si>
  <si>
    <t xml:space="preserve">TOTAL / PROMEDIO GENERAL</t>
  </si>
  <si>
    <t xml:space="preserve">⚙️  Supuestos: Costo/hr técnico = $156.25 · Margen objetivo = 40% · Fuente: Brame (precios actualizados) + Conceptos de Servicio BJX · Para ajustar parámetros ve a la hoja 🧮 Calculadora</t>
  </si>
  <si>
    <t xml:space="preserve">Calculadora de Costo Real</t>
  </si>
  <si>
    <t xml:space="preserve">Selecciona modelo y servicio. Los costos se calculan automáticamente.</t>
  </si>
  <si>
    <t xml:space="preserve">SELECCIÓN</t>
  </si>
  <si>
    <t xml:space="preserve">MODELO</t>
  </si>
  <si>
    <t xml:space="preserve">SERVICIO</t>
  </si>
  <si>
    <t xml:space="preserve">AFINACIÓN</t>
  </si>
  <si>
    <t xml:space="preserve">PARÁMETROS DINÁMICOS</t>
  </si>
  <si>
    <t xml:space="preserve">Costo por hora técnico (MXN)</t>
  </si>
  <si>
    <t xml:space="preserve">Margen objetivo (%)</t>
  </si>
  <si>
    <t xml:space="preserve">DESGLOSE DE COSTOS</t>
  </si>
  <si>
    <t xml:space="preserve">Concepto de Costo</t>
  </si>
  <si>
    <t xml:space="preserve">Fórmula / Lógica</t>
  </si>
  <si>
    <t xml:space="preserve">Valor</t>
  </si>
  <si>
    <t xml:space="preserve">⏱ Duración del servicio</t>
  </si>
  <si>
    <t xml:space="preserve">Catálogo BJX por modelo + servicio</t>
  </si>
  <si>
    <t xml:space="preserve">💲 Costo/hora técnico BJX</t>
  </si>
  <si>
    <t xml:space="preserve">Nómina 5 técnicos ÷ horas productivas</t>
  </si>
  <si>
    <t xml:space="preserve">🔧 Costo Mano de Obra</t>
  </si>
  <si>
    <t xml:space="preserve">Duración × Costo/hora</t>
  </si>
  <si>
    <t xml:space="preserve">⚙️ Costo Refacción</t>
  </si>
  <si>
    <t xml:space="preserve">Lista de precios (catálogo BJX / Brame Ref. Actual)</t>
  </si>
  <si>
    <t xml:space="preserve">📊 Costo Total BJX</t>
  </si>
  <si>
    <t xml:space="preserve">Mano de obra + Refacción</t>
  </si>
  <si>
    <t xml:space="preserve">🏷 Precio que paga Brame</t>
  </si>
  <si>
    <t xml:space="preserve">Tarifa ACTUALIZADA Brame (Ref + MO)</t>
  </si>
  <si>
    <t xml:space="preserve">💰 Margen Bruto ($)</t>
  </si>
  <si>
    <t xml:space="preserve">Precio Brame − Costo Total BJX</t>
  </si>
  <si>
    <t xml:space="preserve">📈 Margen Bruto (%)</t>
  </si>
  <si>
    <t xml:space="preserve">Margen $ ÷ Precio Brame</t>
  </si>
  <si>
    <t xml:space="preserve">🎯 Precio sugerido (obj. 40%)</t>
  </si>
  <si>
    <t xml:space="preserve">Costo Total BJX ÷ (1 − Margen objetivo)</t>
  </si>
  <si>
    <t xml:space="preserve">⚠️ Gap vs objetivo</t>
  </si>
  <si>
    <t xml:space="preserve">Precio Brame − Precio sugerido</t>
  </si>
  <si>
    <t xml:space="preserve">🔵 Celdas azules = Inputs modificables   |   Valores calculados automáticamente con INDEX/MATCH desde la hoja Datos_Comparativo</t>
  </si>
  <si>
    <t xml:space="preserve">BRAME_REF_PASADO ($)</t>
  </si>
  <si>
    <t xml:space="preserve">BRAME_MO_PASADO ($)</t>
  </si>
  <si>
    <t xml:space="preserve">BRAME_TOTAL_PASADO ($)</t>
  </si>
  <si>
    <t xml:space="preserve">BRAME_REF_ACTUAL ($)</t>
  </si>
  <si>
    <t xml:space="preserve">BRAME_MO_ACTUAL ($)</t>
  </si>
  <si>
    <t xml:space="preserve">BRAME_TOTAL_ACTUAL ($)</t>
  </si>
  <si>
    <t xml:space="preserve">MARGEN % (ACTUAL)</t>
  </si>
  <si>
    <t xml:space="preserve">COSTO BJX EST. ($)</t>
  </si>
  <si>
    <t xml:space="preserve">MARGEN $ (ACTUAL)</t>
  </si>
  <si>
    <t xml:space="preserve">BJX_MO_CATÁLOGO ($)</t>
  </si>
  <si>
    <t xml:space="preserve">BJX_REF_CATÁLOGO ($)</t>
  </si>
  <si>
    <t xml:space="preserve">BJX_DURACION_HRS</t>
  </si>
  <si>
    <t xml:space="preserve">CAMBIO DE BALATAS DELANTERAS</t>
  </si>
  <si>
    <t xml:space="preserve">CAMBIO DE BATERÍA</t>
  </si>
  <si>
    <t xml:space="preserve">CAMBIO DE ANTICONGELANTE</t>
  </si>
  <si>
    <t xml:space="preserve">CAMBIO DE HORQUILLAS DELANTERAS</t>
  </si>
  <si>
    <t xml:space="preserve">AJUSTE DE BALATAS</t>
  </si>
  <si>
    <t xml:space="preserve">ALINEACIÓN</t>
  </si>
  <si>
    <t xml:space="preserve">CAMBIO DE DEPÓSITO DE ANTICONGELANTE</t>
  </si>
  <si>
    <t xml:space="preserve">CAMBIO DE AMORTIGUADORES DELANTEROS</t>
  </si>
  <si>
    <t xml:space="preserve">CAMBIO DE BASES DE AMORTIGUADORES DELANTEROS</t>
  </si>
  <si>
    <t xml:space="preserve">CAMBIO DE BALATAS TRASERAS</t>
  </si>
  <si>
    <t xml:space="preserve">⚙️  Supuestos y Configuración</t>
  </si>
  <si>
    <t xml:space="preserve">Modifica estos valores. La calculadora los referencia automáticamente.</t>
  </si>
  <si>
    <t xml:space="preserve">Parámetro</t>
  </si>
  <si>
    <t xml:space="preserve">Notas</t>
  </si>
  <si>
    <t xml:space="preserve">Nómina 5 técnicos ÷ horas productivas mensuales</t>
  </si>
  <si>
    <t xml:space="preserve">Meta BJX = 40% margen sobre precio Brame</t>
  </si>
  <si>
    <t xml:space="preserve">IVA (%)</t>
  </si>
  <si>
    <t xml:space="preserve">IVA México vigente</t>
  </si>
  <si>
    <t xml:space="preserve">Overhead adicional (%)</t>
  </si>
  <si>
    <t xml:space="preserve">Gastos indirectos / overhead taller</t>
  </si>
  <si>
    <t xml:space="preserve">Horas productivas / mes</t>
  </si>
  <si>
    <t xml:space="preserve">Por técnico: 8 hrs × 20 días</t>
  </si>
  <si>
    <t xml:space="preserve">Número de técnicos</t>
  </si>
  <si>
    <t xml:space="preserve">Técnicos en nómina activa</t>
  </si>
  <si>
    <t xml:space="preserve">🔵 Valores azules = modificables por el usuario · Negro = calculado · Verde = enlace de otra hoja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</si>
</sst>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$#,##0.00"/>
    <numFmt numFmtId="167" formatCode="0%"/>
    <numFmt numFmtId="168" formatCode="0.00&quot; hrs&quot;"/>
    <numFmt numFmtId="169" formatCode="&quot;\$&quot;#,##0.00"/>
    <numFmt numFmtId="170" formatCode="&quot;\$&quot;#,##0.00;[RED]&quot;(\$&quot;#,##0.00\)"/>
    <numFmt numFmtId="171" formatCode="0.00"/>
    <numFmt numFmtId="172" formatCode="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sz val="10"/>
      <color rgb="FF6B728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20"/>
      <color rgb="FF1F2937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9CA3AF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z val="11"/>
      <color rgb="FF1F2937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16"/>
      <color rgb="FF1F293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9FAFB"/>
      </patternFill>
    </fill>
    <fill>
      <patternFill patternType="solid">
        <fgColor rgb="FFF3F4F6"/>
        <bgColor rgb="FFEFF6FF"/>
      </patternFill>
    </fill>
    <fill>
      <patternFill patternType="solid">
        <fgColor rgb="FF1F2937"/>
        <bgColor rgb="FF333300"/>
      </patternFill>
    </fill>
    <fill>
      <patternFill patternType="solid">
        <fgColor rgb="FFF9FAFB"/>
        <bgColor rgb="FFFFFFFF"/>
      </patternFill>
    </fill>
    <fill>
      <patternFill patternType="solid">
        <fgColor rgb="FFFEF3C7"/>
        <bgColor rgb="FFFEF9C3"/>
      </patternFill>
    </fill>
    <fill>
      <patternFill patternType="solid">
        <fgColor rgb="FFFEF9C3"/>
        <bgColor rgb="FFFEF3C7"/>
      </patternFill>
    </fill>
    <fill>
      <patternFill patternType="solid">
        <fgColor rgb="FFEFF6FF"/>
        <bgColor rgb="FFF3F4F6"/>
      </patternFill>
    </fill>
    <fill>
      <patternFill patternType="solid">
        <fgColor rgb="FFD1FAE5"/>
        <bgColor rgb="FFE5E7EB"/>
      </patternFill>
    </fill>
    <fill>
      <patternFill patternType="solid">
        <fgColor rgb="FFFEE2E2"/>
        <bgColor rgb="FFE5E7EB"/>
      </patternFill>
    </fill>
    <fill>
      <patternFill patternType="solid">
        <fgColor rgb="FF374151"/>
        <bgColor rgb="FF1F293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/>
      <right/>
      <top style="medium">
        <color rgb="FFF59E0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10B981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9731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F9FAFB"/>
      <rgbColor rgb="FF808080"/>
      <rgbColor rgb="FF9999FF"/>
      <rgbColor rgb="FFEF4444"/>
      <rgbColor rgb="FFFEF9C3"/>
      <rgbColor rgb="FFEFF6FF"/>
      <rgbColor rgb="FF660066"/>
      <rgbColor rgb="FFFF8080"/>
      <rgbColor rgb="FF1D4ED8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EF3C7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59E0B"/>
      <rgbColor rgb="FFF97316"/>
      <rgbColor rgb="FF6B7280"/>
      <rgbColor rgb="FF9CA3AF"/>
      <rgbColor rgb="FF003366"/>
      <rgbColor rgb="FF10B981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B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9" min="3" style="0" width="16"/>
    <col collapsed="false" customWidth="true" hidden="false" outlineLevel="0" max="10" min="10" style="0" width="3"/>
  </cols>
  <sheetData>
    <row r="1" customFormat="false" ht="42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3" customFormat="false" ht="12" hidden="false" customHeight="true" outlineLevel="0" collapsed="false"/>
    <row r="4" customFormat="false" ht="21.75" hidden="false" customHeight="true" outlineLevel="0" collapsed="false">
      <c r="B4" s="3" t="s">
        <v>2</v>
      </c>
      <c r="C4" s="3"/>
      <c r="D4" s="3" t="s">
        <v>3</v>
      </c>
      <c r="E4" s="3"/>
      <c r="F4" s="3" t="s">
        <v>4</v>
      </c>
      <c r="G4" s="3"/>
      <c r="H4" s="3" t="s">
        <v>5</v>
      </c>
      <c r="I4" s="3"/>
    </row>
    <row r="5" customFormat="false" ht="30" hidden="false" customHeight="true" outlineLevel="0" collapsed="false">
      <c r="B5" s="4" t="n">
        <v>24</v>
      </c>
      <c r="C5" s="4"/>
      <c r="D5" s="4" t="n">
        <v>5</v>
      </c>
      <c r="E5" s="4"/>
      <c r="F5" s="5" t="n">
        <f aca="false">AVERAGE('📦 Datos_Comparativo'!I2:I121)</f>
        <v>0.0892740740740741</v>
      </c>
      <c r="G5" s="5"/>
      <c r="H5" s="4" t="n">
        <f aca="false">COUNTIF('📦 Datos_Comparativo'!I2:I121,"&lt;0.3")</f>
        <v>44</v>
      </c>
      <c r="I5" s="4"/>
    </row>
    <row r="6" customFormat="false" ht="21.75" hidden="false" customHeight="true" outlineLevel="0" collapsed="false">
      <c r="B6" s="6"/>
      <c r="C6" s="6"/>
      <c r="D6" s="6"/>
      <c r="E6" s="6"/>
      <c r="F6" s="6"/>
      <c r="G6" s="6"/>
      <c r="H6" s="6"/>
      <c r="I6" s="6"/>
    </row>
    <row r="7" customFormat="false" ht="18" hidden="false" customHeight="true" outlineLevel="0" collapsed="false">
      <c r="B7" s="3" t="s">
        <v>6</v>
      </c>
      <c r="C7" s="3"/>
      <c r="D7" s="3" t="s">
        <v>7</v>
      </c>
      <c r="E7" s="3"/>
      <c r="F7" s="3" t="s">
        <v>8</v>
      </c>
      <c r="G7" s="3"/>
      <c r="H7" s="3" t="s">
        <v>9</v>
      </c>
      <c r="I7" s="3"/>
    </row>
    <row r="8" customFormat="false" ht="9.75" hidden="false" customHeight="true" outlineLevel="0" collapsed="false"/>
    <row r="9" customFormat="false" ht="13.5" hidden="false" customHeight="true" outlineLevel="0" collapsed="false"/>
    <row r="10" customFormat="false" ht="21.75" hidden="false" customHeight="true" outlineLevel="0" collapsed="false">
      <c r="B10" s="7" t="s">
        <v>10</v>
      </c>
      <c r="C10" s="7"/>
      <c r="D10" s="7"/>
      <c r="E10" s="7"/>
      <c r="F10" s="7"/>
      <c r="G10" s="7"/>
      <c r="H10" s="7"/>
      <c r="I10" s="7"/>
    </row>
    <row r="11" customFormat="false" ht="19.5" hidden="false" customHeight="true" outlineLevel="0" collapsed="false">
      <c r="B11" s="8" t="s">
        <v>11</v>
      </c>
      <c r="C11" s="8" t="s">
        <v>12</v>
      </c>
      <c r="D11" s="8" t="s">
        <v>13</v>
      </c>
      <c r="E11" s="8" t="s">
        <v>14</v>
      </c>
      <c r="F11" s="8" t="s">
        <v>15</v>
      </c>
      <c r="G11" s="8" t="s">
        <v>16</v>
      </c>
      <c r="H11" s="8" t="s">
        <v>17</v>
      </c>
    </row>
    <row r="12" customFormat="false" ht="19.5" hidden="false" customHeight="true" outlineLevel="0" collapsed="false">
      <c r="B12" s="9" t="s">
        <v>18</v>
      </c>
      <c r="C12" s="10" t="n">
        <v>11</v>
      </c>
      <c r="D12" s="11" t="n">
        <v>1632.04</v>
      </c>
      <c r="E12" s="11" t="n">
        <v>1587.64</v>
      </c>
      <c r="F12" s="11" t="n">
        <v>-44.39</v>
      </c>
      <c r="G12" s="12" t="n">
        <v>-0.028</v>
      </c>
      <c r="H12" s="13" t="s">
        <v>19</v>
      </c>
    </row>
    <row r="13" customFormat="false" ht="19.5" hidden="false" customHeight="true" outlineLevel="0" collapsed="false">
      <c r="B13" s="14" t="s">
        <v>20</v>
      </c>
      <c r="C13" s="15" t="n">
        <v>11</v>
      </c>
      <c r="D13" s="16" t="n">
        <v>1290.5</v>
      </c>
      <c r="E13" s="16" t="n">
        <v>1276.43</v>
      </c>
      <c r="F13" s="16" t="n">
        <v>-14.07</v>
      </c>
      <c r="G13" s="17" t="n">
        <v>-0.011</v>
      </c>
      <c r="H13" s="18" t="s">
        <v>19</v>
      </c>
    </row>
    <row r="14" customFormat="false" ht="19.5" hidden="false" customHeight="true" outlineLevel="0" collapsed="false">
      <c r="B14" s="9" t="s">
        <v>21</v>
      </c>
      <c r="C14" s="10" t="n">
        <v>11</v>
      </c>
      <c r="D14" s="11" t="n">
        <v>1136.68</v>
      </c>
      <c r="E14" s="11" t="n">
        <v>1463.81</v>
      </c>
      <c r="F14" s="11" t="n">
        <v>327.13</v>
      </c>
      <c r="G14" s="12" t="n">
        <v>0.2235</v>
      </c>
      <c r="H14" s="13" t="s">
        <v>19</v>
      </c>
    </row>
    <row r="15" customFormat="false" ht="19.5" hidden="false" customHeight="true" outlineLevel="0" collapsed="false">
      <c r="B15" s="14" t="s">
        <v>22</v>
      </c>
      <c r="C15" s="15" t="n">
        <v>11</v>
      </c>
      <c r="D15" s="16" t="n">
        <v>1252.63</v>
      </c>
      <c r="E15" s="16" t="n">
        <v>1456.67</v>
      </c>
      <c r="F15" s="16" t="n">
        <v>204.04</v>
      </c>
      <c r="G15" s="17" t="n">
        <v>0.1401</v>
      </c>
      <c r="H15" s="18" t="s">
        <v>19</v>
      </c>
    </row>
    <row r="16" customFormat="false" ht="19.5" hidden="false" customHeight="true" outlineLevel="0" collapsed="false">
      <c r="B16" s="9" t="s">
        <v>23</v>
      </c>
      <c r="C16" s="10" t="n">
        <v>10</v>
      </c>
      <c r="D16" s="11" t="n">
        <v>1341.26</v>
      </c>
      <c r="E16" s="11" t="n">
        <v>1578.04</v>
      </c>
      <c r="F16" s="11" t="n">
        <v>236.78</v>
      </c>
      <c r="G16" s="12" t="n">
        <v>0.15</v>
      </c>
      <c r="H16" s="13" t="s">
        <v>19</v>
      </c>
    </row>
    <row r="17" customFormat="false" ht="19.5" hidden="false" customHeight="true" outlineLevel="0" collapsed="false">
      <c r="B17" s="19" t="s">
        <v>24</v>
      </c>
      <c r="C17" s="19"/>
      <c r="D17" s="20"/>
      <c r="E17" s="20"/>
      <c r="F17" s="20"/>
      <c r="G17" s="20"/>
      <c r="H17" s="20"/>
    </row>
    <row r="19" customFormat="false" ht="27.75" hidden="false" customHeight="true" outlineLevel="0" collapsed="false">
      <c r="B19" s="21" t="s">
        <v>25</v>
      </c>
      <c r="C19" s="21"/>
      <c r="D19" s="21"/>
      <c r="E19" s="21"/>
      <c r="F19" s="21"/>
      <c r="G19" s="21"/>
      <c r="H19" s="21"/>
      <c r="I19" s="21"/>
    </row>
  </sheetData>
  <mergeCells count="21">
    <mergeCell ref="B1:I1"/>
    <mergeCell ref="B2:I2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10:I10"/>
    <mergeCell ref="B17:C17"/>
    <mergeCell ref="B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B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5" min="4" style="0" width="22"/>
    <col collapsed="false" customWidth="true" hidden="false" outlineLevel="0" max="6" min="6" style="0" width="3"/>
  </cols>
  <sheetData>
    <row r="1" customFormat="false" ht="39.75" hidden="false" customHeight="true" outlineLevel="0" collapsed="false">
      <c r="B1" s="1" t="s">
        <v>26</v>
      </c>
      <c r="C1" s="1"/>
      <c r="D1" s="1"/>
      <c r="E1" s="1"/>
    </row>
    <row r="2" customFormat="false" ht="18" hidden="false" customHeight="true" outlineLevel="0" collapsed="false">
      <c r="B2" s="2" t="s">
        <v>27</v>
      </c>
      <c r="C2" s="2"/>
      <c r="D2" s="2"/>
      <c r="E2" s="2"/>
    </row>
    <row r="3" customFormat="false" ht="13.5" hidden="false" customHeight="true" outlineLevel="0" collapsed="false"/>
    <row r="4" customFormat="false" ht="21.75" hidden="false" customHeight="true" outlineLevel="0" collapsed="false">
      <c r="B4" s="22" t="s">
        <v>28</v>
      </c>
      <c r="C4" s="22"/>
      <c r="D4" s="22"/>
      <c r="E4" s="22"/>
    </row>
    <row r="5" customFormat="false" ht="25.5" hidden="false" customHeight="true" outlineLevel="0" collapsed="false">
      <c r="B5" s="23" t="s">
        <v>29</v>
      </c>
      <c r="C5" s="24" t="s">
        <v>18</v>
      </c>
      <c r="D5" s="23" t="s">
        <v>30</v>
      </c>
      <c r="E5" s="24" t="s">
        <v>31</v>
      </c>
    </row>
    <row r="6" customFormat="false" ht="13.5" hidden="false" customHeight="true" outlineLevel="0" collapsed="false"/>
    <row r="7" customFormat="false" ht="21.75" hidden="false" customHeight="true" outlineLevel="0" collapsed="false">
      <c r="B7" s="22" t="s">
        <v>32</v>
      </c>
      <c r="C7" s="22"/>
      <c r="D7" s="22"/>
      <c r="E7" s="22"/>
    </row>
    <row r="8" customFormat="false" ht="25.5" hidden="false" customHeight="true" outlineLevel="0" collapsed="false">
      <c r="B8" s="23" t="s">
        <v>33</v>
      </c>
      <c r="C8" s="25" t="n">
        <v>156.25</v>
      </c>
      <c r="D8" s="23" t="s">
        <v>34</v>
      </c>
      <c r="E8" s="26" t="n">
        <v>0.4</v>
      </c>
    </row>
    <row r="9" customFormat="false" ht="13.5" hidden="false" customHeight="true" outlineLevel="0" collapsed="false"/>
    <row r="10" customFormat="false" ht="21.75" hidden="false" customHeight="true" outlineLevel="0" collapsed="false">
      <c r="B10" s="22" t="s">
        <v>35</v>
      </c>
      <c r="C10" s="22"/>
      <c r="D10" s="22"/>
      <c r="E10" s="22"/>
    </row>
    <row r="11" customFormat="false" ht="19.5" hidden="false" customHeight="true" outlineLevel="0" collapsed="false">
      <c r="B11" s="8" t="s">
        <v>36</v>
      </c>
      <c r="C11" s="8" t="s">
        <v>37</v>
      </c>
      <c r="D11" s="8"/>
      <c r="E11" s="8" t="s">
        <v>38</v>
      </c>
    </row>
    <row r="12" customFormat="false" ht="21.75" hidden="false" customHeight="true" outlineLevel="0" collapsed="false">
      <c r="B12" s="27" t="s">
        <v>39</v>
      </c>
      <c r="C12" s="28" t="s">
        <v>40</v>
      </c>
      <c r="D12" s="28"/>
      <c r="E12" s="29" t="n">
        <f aca="false">IFERROR(INDEX('📦 Datos_Comparativo'!N:N,MATCH(C5&amp;E5,'📦 Datos_Comparativo'!A:A&amp;'📦 Datos_Comparativo'!B:B,0)),"N/D")</f>
        <v>1.5</v>
      </c>
    </row>
    <row r="13" customFormat="false" ht="21.75" hidden="false" customHeight="true" outlineLevel="0" collapsed="false">
      <c r="B13" s="27" t="s">
        <v>41</v>
      </c>
      <c r="C13" s="28" t="s">
        <v>42</v>
      </c>
      <c r="D13" s="28"/>
      <c r="E13" s="16" t="n">
        <f aca="false">C8</f>
        <v>156.25</v>
      </c>
    </row>
    <row r="14" customFormat="false" ht="21.75" hidden="false" customHeight="true" outlineLevel="0" collapsed="false">
      <c r="B14" s="30" t="s">
        <v>43</v>
      </c>
      <c r="C14" s="3" t="s">
        <v>44</v>
      </c>
      <c r="D14" s="3"/>
      <c r="E14" s="31" t="n">
        <f aca="false">IFERROR(IF(ISNUMBER(E12),E12,0)*E13,"N/D")</f>
        <v>234.375</v>
      </c>
    </row>
    <row r="15" customFormat="false" ht="21.75" hidden="false" customHeight="true" outlineLevel="0" collapsed="false">
      <c r="B15" s="30" t="s">
        <v>45</v>
      </c>
      <c r="C15" s="3" t="s">
        <v>46</v>
      </c>
      <c r="D15" s="3"/>
      <c r="E15" s="31" t="n">
        <f aca="false">IFERROR(INDEX('📦 Datos_Comparativo'!F:F,MATCH(C5&amp;E5,'📦 Datos_Comparativo'!A:A&amp;'📦 Datos_Comparativo'!B:B,0)),"N/D")</f>
        <v>1735.2835</v>
      </c>
    </row>
    <row r="16" customFormat="false" ht="21.75" hidden="false" customHeight="true" outlineLevel="0" collapsed="false">
      <c r="B16" s="27" t="s">
        <v>47</v>
      </c>
      <c r="C16" s="28" t="s">
        <v>48</v>
      </c>
      <c r="D16" s="28"/>
      <c r="E16" s="32" t="n">
        <f aca="false">IFERROR(E14+E15,"N/D")</f>
        <v>1969.6585</v>
      </c>
    </row>
    <row r="17" customFormat="false" ht="21.75" hidden="false" customHeight="true" outlineLevel="0" collapsed="false">
      <c r="B17" s="30" t="s">
        <v>49</v>
      </c>
      <c r="C17" s="3" t="s">
        <v>50</v>
      </c>
      <c r="D17" s="3"/>
      <c r="E17" s="33" t="n">
        <f aca="false">IFERROR(INDEX('📦 Datos_Comparativo'!H:H,MATCH(C5&amp;E5,'📦 Datos_Comparativo'!A:A&amp;'📦 Datos_Comparativo'!B:B,0)),"N/D")</f>
        <v>2635.28</v>
      </c>
    </row>
    <row r="18" customFormat="false" ht="21.75" hidden="false" customHeight="true" outlineLevel="0" collapsed="false">
      <c r="B18" s="27" t="s">
        <v>51</v>
      </c>
      <c r="C18" s="28" t="s">
        <v>52</v>
      </c>
      <c r="D18" s="28"/>
      <c r="E18" s="34" t="n">
        <f aca="false">IFERROR(E17-E16,"N/D")</f>
        <v>665.6215</v>
      </c>
    </row>
    <row r="19" customFormat="false" ht="21.75" hidden="false" customHeight="true" outlineLevel="0" collapsed="false">
      <c r="B19" s="27" t="s">
        <v>53</v>
      </c>
      <c r="C19" s="28" t="s">
        <v>54</v>
      </c>
      <c r="D19" s="28"/>
      <c r="E19" s="35" t="n">
        <f aca="false">IFERROR(E18/E17,"N/D")</f>
        <v>0.252580940165751</v>
      </c>
    </row>
    <row r="20" customFormat="false" ht="21.75" hidden="false" customHeight="true" outlineLevel="0" collapsed="false">
      <c r="B20" s="30" t="s">
        <v>55</v>
      </c>
      <c r="C20" s="3" t="s">
        <v>56</v>
      </c>
      <c r="D20" s="3"/>
      <c r="E20" s="31" t="n">
        <f aca="false">IFERROR(E16/(1-E8),"N/D")</f>
        <v>3282.76416666667</v>
      </c>
    </row>
    <row r="21" customFormat="false" ht="21.75" hidden="false" customHeight="true" outlineLevel="0" collapsed="false">
      <c r="B21" s="30" t="s">
        <v>57</v>
      </c>
      <c r="C21" s="3" t="s">
        <v>58</v>
      </c>
      <c r="D21" s="3"/>
      <c r="E21" s="36" t="n">
        <f aca="false">IFERROR(E17-E20,"N/D")</f>
        <v>-647.484166666667</v>
      </c>
    </row>
    <row r="22" customFormat="false" ht="15" hidden="false" customHeight="false" outlineLevel="0" collapsed="false">
      <c r="B22" s="0" t="str">
        <f aca="false">IFERROR(IF(E19&gt;="N/D","Selecciona un servicio válido",IF(E19&gt;=E8,"✅  Margen OK — por encima del objetivo "&amp;TEXT(E8,"0%"),IF(E19&gt;=0.3,"⚠️  Margen Bajo — entre 30% y "&amp;TEXT(E8,"0%"),"🔴  Margen Crítico — por debajo de 30%"))),"Selecciona un servicio")</f>
        <v>🔴  Margen Crítico — por debajo de 30%</v>
      </c>
    </row>
    <row r="23" customFormat="false" ht="27.75" hidden="false" customHeight="true" outlineLevel="0" collapsed="false">
      <c r="B23" s="37" t="str">
        <f aca="false">IFERROR(IF(C19&gt;=0.4,"✅  Margen OK — por encima del objetivo "&amp;TEXT(E8,"0%"),IF(C19&gt;=0.3,"⚠️  Margen Bajo — entre 30% y "&amp;TEXT(E8,"0%"),"🔴  Margen Crítico — por debajo de 30%")),"Selecciona un servicio")</f>
        <v>✅  Margen OK — por encima del objetivo 40%</v>
      </c>
      <c r="C23" s="37"/>
      <c r="D23" s="37"/>
      <c r="E23" s="37"/>
    </row>
    <row r="25" customFormat="false" ht="21.75" hidden="false" customHeight="true" outlineLevel="0" collapsed="false">
      <c r="B25" s="21" t="s">
        <v>59</v>
      </c>
      <c r="C25" s="21"/>
      <c r="D25" s="21"/>
      <c r="E25" s="21"/>
    </row>
  </sheetData>
  <mergeCells count="18">
    <mergeCell ref="B1:E1"/>
    <mergeCell ref="B2:E2"/>
    <mergeCell ref="B4:E4"/>
    <mergeCell ref="B7:E7"/>
    <mergeCell ref="B10:E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3:E23"/>
    <mergeCell ref="B25:E25"/>
  </mergeCells>
  <dataValidations count="2">
    <dataValidation allowBlank="false" errorStyle="stop" operator="between" showDropDown="false" showErrorMessage="false" showInputMessage="false" sqref="C5" type="list">
      <formula1>"CHEVROLET - AVEO,CHEVROLET - BEAT,CHEVROLET - TORNADO PU,CHEVROLET - TORNADO VAN,NISSAN MARCH"</formula1>
      <formula2>0</formula2>
    </dataValidation>
    <dataValidation allowBlank="false" errorStyle="stop" operator="between" showDropDown="false" showErrorMessage="false" showInputMessage="false" sqref="E5" type="list">
      <formula1>"AFINACIÓN,AJUSTE DE BALATAS,ALINEACIÓN,CAMBIO DE AMORTIGUADORES DELANTEROS,CAMBIO DE ANTICONGELANTE,CAMBIO DE BALATAS DELANTERAS,CAMBIO DE BALATAS TRASERAS,CAMBIO DE BASES DE AMORTIGUADORES DELANTEROS,CAMBIO DE BATERÍA,CAMBIO DE DEPÓSITO DE ANTICONGELANTE"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8" min="6" style="0" width="18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3" min="12" style="0" width="18"/>
    <col collapsed="false" customWidth="true" hidden="false" outlineLevel="0" max="14" min="14" style="0" width="16"/>
  </cols>
  <sheetData>
    <row r="1" customFormat="false" ht="21.75" hidden="false" customHeight="true" outlineLevel="0" collapsed="false">
      <c r="A1" s="38" t="s">
        <v>29</v>
      </c>
      <c r="B1" s="38" t="s">
        <v>30</v>
      </c>
      <c r="C1" s="38" t="s">
        <v>60</v>
      </c>
      <c r="D1" s="38" t="s">
        <v>61</v>
      </c>
      <c r="E1" s="38" t="s">
        <v>62</v>
      </c>
      <c r="F1" s="38" t="s">
        <v>63</v>
      </c>
      <c r="G1" s="38" t="s">
        <v>64</v>
      </c>
      <c r="H1" s="38" t="s">
        <v>65</v>
      </c>
      <c r="I1" s="38" t="s">
        <v>66</v>
      </c>
      <c r="J1" s="38" t="s">
        <v>67</v>
      </c>
      <c r="K1" s="38" t="s">
        <v>68</v>
      </c>
      <c r="L1" s="39" t="s">
        <v>69</v>
      </c>
      <c r="M1" s="39" t="s">
        <v>70</v>
      </c>
      <c r="N1" s="39" t="s">
        <v>71</v>
      </c>
    </row>
    <row r="2" customFormat="false" ht="18" hidden="false" customHeight="true" outlineLevel="0" collapsed="false">
      <c r="A2" s="40" t="s">
        <v>23</v>
      </c>
      <c r="B2" s="40" t="s">
        <v>31</v>
      </c>
      <c r="C2" s="41" t="n">
        <v>1978.28</v>
      </c>
      <c r="D2" s="41" t="n">
        <v>1490.85</v>
      </c>
      <c r="E2" s="41" t="n">
        <v>3469.13</v>
      </c>
      <c r="F2" s="41" t="n">
        <v>1681.538</v>
      </c>
      <c r="G2" s="41" t="n">
        <v>1200</v>
      </c>
      <c r="H2" s="41" t="n">
        <v>2881.54</v>
      </c>
      <c r="I2" s="42" t="n">
        <v>0.308</v>
      </c>
      <c r="J2" s="41" t="n">
        <v>1994.04</v>
      </c>
      <c r="K2" s="41" t="n">
        <v>887.5</v>
      </c>
      <c r="L2" s="41"/>
      <c r="M2" s="41"/>
      <c r="N2" s="43" t="n">
        <v>2</v>
      </c>
    </row>
    <row r="3" customFormat="false" ht="18" hidden="false" customHeight="true" outlineLevel="0" collapsed="false">
      <c r="A3" s="44" t="s">
        <v>22</v>
      </c>
      <c r="B3" s="44" t="s">
        <v>31</v>
      </c>
      <c r="C3" s="45" t="n">
        <v>2081.24</v>
      </c>
      <c r="D3" s="45" t="n">
        <v>1500</v>
      </c>
      <c r="E3" s="45" t="n">
        <v>3581.24</v>
      </c>
      <c r="F3" s="45" t="n">
        <v>1769.054</v>
      </c>
      <c r="G3" s="45" t="n">
        <v>950</v>
      </c>
      <c r="H3" s="45" t="n">
        <v>2719.05</v>
      </c>
      <c r="I3" s="46" t="n">
        <v>0.3488</v>
      </c>
      <c r="J3" s="45" t="n">
        <v>1770.55</v>
      </c>
      <c r="K3" s="45" t="n">
        <v>948.5</v>
      </c>
      <c r="L3" s="45" t="n">
        <v>1.5</v>
      </c>
      <c r="M3" s="45" t="n">
        <v>1.5</v>
      </c>
      <c r="N3" s="47" t="n">
        <v>1.5</v>
      </c>
    </row>
    <row r="4" customFormat="false" ht="18" hidden="false" customHeight="true" outlineLevel="0" collapsed="false">
      <c r="A4" s="40" t="s">
        <v>21</v>
      </c>
      <c r="B4" s="40" t="s">
        <v>31</v>
      </c>
      <c r="C4" s="41" t="n">
        <v>2022.3</v>
      </c>
      <c r="D4" s="41" t="n">
        <v>1487.55</v>
      </c>
      <c r="E4" s="41" t="n">
        <v>3509.85</v>
      </c>
      <c r="F4" s="41" t="n">
        <v>1718.955</v>
      </c>
      <c r="G4" s="41" t="n">
        <v>900</v>
      </c>
      <c r="H4" s="41" t="n">
        <v>2618.95</v>
      </c>
      <c r="I4" s="48" t="n">
        <v>0.2542</v>
      </c>
      <c r="J4" s="41" t="n">
        <v>1953.33</v>
      </c>
      <c r="K4" s="41" t="n">
        <v>665.62</v>
      </c>
      <c r="L4" s="41"/>
      <c r="M4" s="41"/>
      <c r="N4" s="43" t="n">
        <v>1.5</v>
      </c>
    </row>
    <row r="5" customFormat="false" ht="18" hidden="false" customHeight="true" outlineLevel="0" collapsed="false">
      <c r="A5" s="44" t="s">
        <v>18</v>
      </c>
      <c r="B5" s="44" t="s">
        <v>31</v>
      </c>
      <c r="C5" s="45" t="n">
        <v>2041.51</v>
      </c>
      <c r="D5" s="45" t="n">
        <v>1480.65</v>
      </c>
      <c r="E5" s="45" t="n">
        <v>3522.16</v>
      </c>
      <c r="F5" s="45" t="n">
        <v>1735.2835</v>
      </c>
      <c r="G5" s="45" t="n">
        <v>900</v>
      </c>
      <c r="H5" s="45" t="n">
        <v>2635.28</v>
      </c>
      <c r="I5" s="49" t="n">
        <v>-0.2084</v>
      </c>
      <c r="J5" s="45" t="n">
        <v>3184.51</v>
      </c>
      <c r="K5" s="45" t="n">
        <v>-549.23</v>
      </c>
      <c r="L5" s="45" t="n">
        <v>1449.23</v>
      </c>
      <c r="M5" s="45" t="n">
        <v>1971.56</v>
      </c>
      <c r="N5" s="47" t="n">
        <v>1.5</v>
      </c>
    </row>
    <row r="6" customFormat="false" ht="18" hidden="false" customHeight="true" outlineLevel="0" collapsed="false">
      <c r="A6" s="40" t="s">
        <v>20</v>
      </c>
      <c r="B6" s="40" t="s">
        <v>31</v>
      </c>
      <c r="C6" s="41" t="n">
        <v>2149.67</v>
      </c>
      <c r="D6" s="41" t="n">
        <v>1500</v>
      </c>
      <c r="E6" s="41" t="n">
        <v>3649.67</v>
      </c>
      <c r="F6" s="41" t="n">
        <v>1827.2195</v>
      </c>
      <c r="G6" s="41" t="n">
        <v>1200</v>
      </c>
      <c r="H6" s="41" t="n">
        <v>3027.22</v>
      </c>
      <c r="I6" s="48" t="n">
        <v>-0.0918</v>
      </c>
      <c r="J6" s="41" t="n">
        <v>3305.25</v>
      </c>
      <c r="K6" s="41" t="n">
        <v>-278.03</v>
      </c>
      <c r="L6" s="41" t="n">
        <v>1478.03</v>
      </c>
      <c r="M6" s="41" t="n">
        <v>2125.48</v>
      </c>
      <c r="N6" s="43" t="n">
        <v>2</v>
      </c>
    </row>
    <row r="7" customFormat="false" ht="18" hidden="false" customHeight="true" outlineLevel="0" collapsed="false">
      <c r="A7" s="44" t="s">
        <v>23</v>
      </c>
      <c r="B7" s="44" t="s">
        <v>72</v>
      </c>
      <c r="C7" s="45" t="n">
        <v>840.88</v>
      </c>
      <c r="D7" s="45" t="n">
        <v>545</v>
      </c>
      <c r="E7" s="45" t="n">
        <v>1385.88</v>
      </c>
      <c r="F7" s="45" t="n">
        <v>714.748</v>
      </c>
      <c r="G7" s="45" t="n">
        <v>500</v>
      </c>
      <c r="H7" s="45" t="n">
        <v>1214.75</v>
      </c>
      <c r="I7" s="46" t="n">
        <v>0.3473</v>
      </c>
      <c r="J7" s="45" t="n">
        <v>792.87</v>
      </c>
      <c r="K7" s="45" t="n">
        <v>421.88</v>
      </c>
      <c r="L7" s="45"/>
      <c r="M7" s="45"/>
      <c r="N7" s="47" t="n">
        <v>0.5</v>
      </c>
    </row>
    <row r="8" customFormat="false" ht="18" hidden="false" customHeight="true" outlineLevel="0" collapsed="false">
      <c r="A8" s="40" t="s">
        <v>22</v>
      </c>
      <c r="B8" s="40" t="s">
        <v>72</v>
      </c>
      <c r="C8" s="41" t="n">
        <v>844.77</v>
      </c>
      <c r="D8" s="41" t="n">
        <v>548.77</v>
      </c>
      <c r="E8" s="41" t="n">
        <v>1393.54</v>
      </c>
      <c r="F8" s="41" t="n">
        <v>718.0545</v>
      </c>
      <c r="G8" s="41" t="n">
        <v>500</v>
      </c>
      <c r="H8" s="41" t="n">
        <v>1218.05</v>
      </c>
      <c r="I8" s="42" t="n">
        <v>0.3463</v>
      </c>
      <c r="J8" s="41" t="n">
        <v>796.18</v>
      </c>
      <c r="K8" s="41" t="n">
        <v>421.87</v>
      </c>
      <c r="L8" s="41"/>
      <c r="M8" s="41"/>
      <c r="N8" s="43" t="n">
        <v>0.5</v>
      </c>
    </row>
    <row r="9" customFormat="false" ht="18" hidden="false" customHeight="true" outlineLevel="0" collapsed="false">
      <c r="A9" s="44" t="s">
        <v>21</v>
      </c>
      <c r="B9" s="44" t="s">
        <v>72</v>
      </c>
      <c r="C9" s="45" t="n">
        <v>853.18</v>
      </c>
      <c r="D9" s="45" t="n">
        <v>547.5</v>
      </c>
      <c r="E9" s="45" t="n">
        <v>1400.68</v>
      </c>
      <c r="F9" s="45" t="n">
        <v>725.203</v>
      </c>
      <c r="G9" s="45" t="n">
        <v>500</v>
      </c>
      <c r="H9" s="45" t="n">
        <v>1225.2</v>
      </c>
      <c r="I9" s="46" t="n">
        <v>0.3443</v>
      </c>
      <c r="J9" s="45" t="n">
        <v>803.33</v>
      </c>
      <c r="K9" s="45" t="n">
        <v>421.87</v>
      </c>
      <c r="L9" s="45"/>
      <c r="M9" s="45"/>
      <c r="N9" s="47" t="n">
        <v>0.5</v>
      </c>
    </row>
    <row r="10" customFormat="false" ht="18" hidden="false" customHeight="true" outlineLevel="0" collapsed="false">
      <c r="A10" s="40" t="s">
        <v>18</v>
      </c>
      <c r="B10" s="40" t="s">
        <v>72</v>
      </c>
      <c r="C10" s="41" t="n">
        <v>1052.5</v>
      </c>
      <c r="D10" s="41" t="n">
        <v>550</v>
      </c>
      <c r="E10" s="41" t="n">
        <v>1602.5</v>
      </c>
      <c r="F10" s="41" t="n">
        <v>894.625</v>
      </c>
      <c r="G10" s="41" t="n">
        <v>500</v>
      </c>
      <c r="H10" s="41" t="n">
        <v>1394.62</v>
      </c>
      <c r="I10" s="48" t="n">
        <v>-0.0276</v>
      </c>
      <c r="J10" s="41" t="n">
        <v>1433.13</v>
      </c>
      <c r="K10" s="41" t="n">
        <v>-38.52</v>
      </c>
      <c r="L10" s="41" t="n">
        <v>538.51</v>
      </c>
      <c r="M10" s="41" t="n">
        <v>1032.04</v>
      </c>
      <c r="N10" s="43" t="n">
        <v>0.5</v>
      </c>
    </row>
    <row r="11" customFormat="false" ht="18" hidden="false" customHeight="true" outlineLevel="0" collapsed="false">
      <c r="A11" s="44" t="s">
        <v>20</v>
      </c>
      <c r="B11" s="44" t="s">
        <v>72</v>
      </c>
      <c r="C11" s="45" t="n">
        <v>755</v>
      </c>
      <c r="D11" s="45" t="n">
        <v>545.1</v>
      </c>
      <c r="E11" s="45" t="n">
        <v>1300.1</v>
      </c>
      <c r="F11" s="45" t="n">
        <v>641.75</v>
      </c>
      <c r="G11" s="45" t="n">
        <v>500</v>
      </c>
      <c r="H11" s="45" t="n">
        <v>1141.75</v>
      </c>
      <c r="I11" s="49" t="n">
        <v>-0.0273</v>
      </c>
      <c r="J11" s="45" t="n">
        <v>1172.91</v>
      </c>
      <c r="K11" s="45" t="n">
        <v>-31.16</v>
      </c>
      <c r="L11" s="45" t="n">
        <v>531.16</v>
      </c>
      <c r="M11" s="45" t="n">
        <v>690.52</v>
      </c>
      <c r="N11" s="47" t="n">
        <v>0.5</v>
      </c>
    </row>
    <row r="12" customFormat="false" ht="18" hidden="false" customHeight="true" outlineLevel="0" collapsed="false">
      <c r="A12" s="40" t="s">
        <v>23</v>
      </c>
      <c r="B12" s="40" t="s">
        <v>73</v>
      </c>
      <c r="C12" s="41" t="n">
        <v>2770.33</v>
      </c>
      <c r="D12" s="41" t="n">
        <v>119.72</v>
      </c>
      <c r="E12" s="41" t="n">
        <v>2890.05</v>
      </c>
      <c r="F12" s="41" t="n">
        <v>2354.7805</v>
      </c>
      <c r="G12" s="41" t="n">
        <v>100</v>
      </c>
      <c r="H12" s="41" t="n">
        <v>2454.78</v>
      </c>
      <c r="I12" s="48" t="n">
        <v>0.0312</v>
      </c>
      <c r="J12" s="41" t="n">
        <v>2378.22</v>
      </c>
      <c r="K12" s="41" t="n">
        <v>76.56</v>
      </c>
      <c r="L12" s="41"/>
      <c r="M12" s="41"/>
      <c r="N12" s="43" t="n">
        <v>0.15</v>
      </c>
    </row>
    <row r="13" customFormat="false" ht="18" hidden="false" customHeight="true" outlineLevel="0" collapsed="false">
      <c r="A13" s="44" t="s">
        <v>22</v>
      </c>
      <c r="B13" s="44" t="s">
        <v>73</v>
      </c>
      <c r="C13" s="45" t="n">
        <v>3454.18</v>
      </c>
      <c r="D13" s="45"/>
      <c r="E13" s="45" t="n">
        <v>3454.18</v>
      </c>
      <c r="F13" s="45" t="n">
        <v>2936.053</v>
      </c>
      <c r="G13" s="45" t="n">
        <v>100</v>
      </c>
      <c r="H13" s="45" t="n">
        <v>3036.05</v>
      </c>
      <c r="I13" s="49" t="n">
        <v>0.0252</v>
      </c>
      <c r="J13" s="45" t="n">
        <v>2959.49</v>
      </c>
      <c r="K13" s="45" t="n">
        <v>76.56</v>
      </c>
      <c r="L13" s="45"/>
      <c r="M13" s="45"/>
      <c r="N13" s="47" t="n">
        <v>0.15</v>
      </c>
    </row>
    <row r="14" customFormat="false" ht="18" hidden="false" customHeight="true" outlineLevel="0" collapsed="false">
      <c r="A14" s="40" t="s">
        <v>21</v>
      </c>
      <c r="B14" s="40" t="s">
        <v>73</v>
      </c>
      <c r="C14" s="41" t="n">
        <v>3123.93</v>
      </c>
      <c r="D14" s="41" t="n">
        <v>116.94</v>
      </c>
      <c r="E14" s="41" t="n">
        <v>3240.87</v>
      </c>
      <c r="F14" s="41" t="n">
        <v>2655.3405</v>
      </c>
      <c r="G14" s="41" t="n">
        <v>100</v>
      </c>
      <c r="H14" s="41" t="n">
        <v>2755.34</v>
      </c>
      <c r="I14" s="48" t="n">
        <v>0.0278</v>
      </c>
      <c r="J14" s="41" t="n">
        <v>2678.78</v>
      </c>
      <c r="K14" s="41" t="n">
        <v>76.56</v>
      </c>
      <c r="L14" s="41"/>
      <c r="M14" s="41"/>
      <c r="N14" s="43" t="n">
        <v>0.15</v>
      </c>
    </row>
    <row r="15" customFormat="false" ht="18" hidden="false" customHeight="true" outlineLevel="0" collapsed="false">
      <c r="A15" s="44" t="s">
        <v>18</v>
      </c>
      <c r="B15" s="44" t="s">
        <v>73</v>
      </c>
      <c r="C15" s="45" t="n">
        <v>3577.4</v>
      </c>
      <c r="D15" s="45" t="n">
        <v>131.63</v>
      </c>
      <c r="E15" s="45" t="n">
        <v>3709.03</v>
      </c>
      <c r="F15" s="45" t="n">
        <v>3040.79</v>
      </c>
      <c r="G15" s="45" t="n">
        <v>100</v>
      </c>
      <c r="H15" s="45" t="n">
        <v>3140.79</v>
      </c>
      <c r="I15" s="49" t="n">
        <v>-0.0099</v>
      </c>
      <c r="J15" s="45" t="n">
        <v>3171.79</v>
      </c>
      <c r="K15" s="45" t="n">
        <v>-31</v>
      </c>
      <c r="L15" s="45" t="n">
        <v>131</v>
      </c>
      <c r="M15" s="45" t="n">
        <v>3578.65</v>
      </c>
      <c r="N15" s="47" t="n">
        <v>0.15</v>
      </c>
    </row>
    <row r="16" customFormat="false" ht="18" hidden="false" customHeight="true" outlineLevel="0" collapsed="false">
      <c r="A16" s="40" t="s">
        <v>20</v>
      </c>
      <c r="B16" s="40" t="s">
        <v>73</v>
      </c>
      <c r="C16" s="41" t="n">
        <v>2785.73</v>
      </c>
      <c r="D16" s="41" t="n">
        <v>122.91</v>
      </c>
      <c r="E16" s="41" t="n">
        <v>2908.64</v>
      </c>
      <c r="F16" s="41" t="n">
        <v>2367.8705</v>
      </c>
      <c r="G16" s="41" t="n">
        <v>100</v>
      </c>
      <c r="H16" s="41" t="n">
        <v>2467.87</v>
      </c>
      <c r="I16" s="48" t="n">
        <v>-0.008</v>
      </c>
      <c r="J16" s="41" t="n">
        <v>2487.55</v>
      </c>
      <c r="K16" s="41" t="n">
        <v>-19.68</v>
      </c>
      <c r="L16" s="41" t="n">
        <v>119.68</v>
      </c>
      <c r="M16" s="41" t="n">
        <v>2720.81</v>
      </c>
      <c r="N16" s="43" t="n">
        <v>0.15</v>
      </c>
    </row>
    <row r="17" customFormat="false" ht="18" hidden="false" customHeight="true" outlineLevel="0" collapsed="false">
      <c r="A17" s="44" t="s">
        <v>23</v>
      </c>
      <c r="B17" s="44" t="s">
        <v>74</v>
      </c>
      <c r="C17" s="45" t="n">
        <v>435.59</v>
      </c>
      <c r="D17" s="45" t="n">
        <v>266.07</v>
      </c>
      <c r="E17" s="45" t="n">
        <v>701.66</v>
      </c>
      <c r="F17" s="45" t="n">
        <v>370.2515</v>
      </c>
      <c r="G17" s="45" t="n">
        <v>200</v>
      </c>
      <c r="H17" s="45" t="n">
        <v>570.25</v>
      </c>
      <c r="I17" s="49" t="n">
        <v>0.2137</v>
      </c>
      <c r="J17" s="45" t="n">
        <v>448.38</v>
      </c>
      <c r="K17" s="45" t="n">
        <v>121.87</v>
      </c>
      <c r="L17" s="45"/>
      <c r="M17" s="45"/>
      <c r="N17" s="47" t="n">
        <v>0.5</v>
      </c>
    </row>
    <row r="18" customFormat="false" ht="18" hidden="false" customHeight="true" outlineLevel="0" collapsed="false">
      <c r="A18" s="40" t="s">
        <v>22</v>
      </c>
      <c r="B18" s="40" t="s">
        <v>74</v>
      </c>
      <c r="C18" s="41" t="n">
        <v>424</v>
      </c>
      <c r="D18" s="41" t="n">
        <v>218.75</v>
      </c>
      <c r="E18" s="41" t="n">
        <v>642.75</v>
      </c>
      <c r="F18" s="41" t="n">
        <v>360.4</v>
      </c>
      <c r="G18" s="41" t="n">
        <v>200</v>
      </c>
      <c r="H18" s="41" t="n">
        <v>560.4</v>
      </c>
      <c r="I18" s="48" t="n">
        <v>0.2175</v>
      </c>
      <c r="J18" s="41" t="n">
        <v>438.52</v>
      </c>
      <c r="K18" s="41" t="n">
        <v>121.88</v>
      </c>
      <c r="L18" s="41"/>
      <c r="M18" s="41"/>
      <c r="N18" s="43" t="n">
        <v>0.5</v>
      </c>
    </row>
    <row r="19" customFormat="false" ht="18" hidden="false" customHeight="true" outlineLevel="0" collapsed="false">
      <c r="A19" s="44" t="s">
        <v>21</v>
      </c>
      <c r="B19" s="44" t="s">
        <v>74</v>
      </c>
      <c r="C19" s="45" t="n">
        <v>405.39</v>
      </c>
      <c r="D19" s="45" t="n">
        <v>210.55</v>
      </c>
      <c r="E19" s="45" t="n">
        <v>615.94</v>
      </c>
      <c r="F19" s="45" t="n">
        <v>344.5815</v>
      </c>
      <c r="G19" s="45" t="n">
        <v>200</v>
      </c>
      <c r="H19" s="45" t="n">
        <v>544.58</v>
      </c>
      <c r="I19" s="49" t="n">
        <v>0.2238</v>
      </c>
      <c r="J19" s="45" t="n">
        <v>422.71</v>
      </c>
      <c r="K19" s="45" t="n">
        <v>121.87</v>
      </c>
      <c r="L19" s="45"/>
      <c r="M19" s="45"/>
      <c r="N19" s="47" t="n">
        <v>0.5</v>
      </c>
    </row>
    <row r="20" customFormat="false" ht="18" hidden="false" customHeight="true" outlineLevel="0" collapsed="false">
      <c r="A20" s="40" t="s">
        <v>18</v>
      </c>
      <c r="B20" s="40" t="s">
        <v>74</v>
      </c>
      <c r="C20" s="41" t="n">
        <v>424</v>
      </c>
      <c r="D20" s="41" t="n">
        <v>230</v>
      </c>
      <c r="E20" s="41" t="n">
        <v>654</v>
      </c>
      <c r="F20" s="41" t="n">
        <v>360.4</v>
      </c>
      <c r="G20" s="41" t="n">
        <v>200</v>
      </c>
      <c r="H20" s="41" t="n">
        <v>560.4</v>
      </c>
      <c r="I20" s="48" t="n">
        <v>-0.0568</v>
      </c>
      <c r="J20" s="41" t="n">
        <v>592.22</v>
      </c>
      <c r="K20" s="41" t="n">
        <v>-31.82</v>
      </c>
      <c r="L20" s="41" t="n">
        <v>231.82</v>
      </c>
      <c r="M20" s="41" t="n">
        <v>424</v>
      </c>
      <c r="N20" s="43" t="n">
        <v>0.5</v>
      </c>
    </row>
    <row r="21" customFormat="false" ht="18" hidden="false" customHeight="true" outlineLevel="0" collapsed="false">
      <c r="A21" s="44" t="s">
        <v>20</v>
      </c>
      <c r="B21" s="44" t="s">
        <v>74</v>
      </c>
      <c r="C21" s="45" t="n">
        <v>414.12</v>
      </c>
      <c r="D21" s="45" t="n">
        <v>204.51</v>
      </c>
      <c r="E21" s="45" t="n">
        <v>618.63</v>
      </c>
      <c r="F21" s="45" t="n">
        <v>352.002</v>
      </c>
      <c r="G21" s="45" t="n">
        <v>200</v>
      </c>
      <c r="H21" s="45" t="n">
        <v>552</v>
      </c>
      <c r="I21" s="49" t="n">
        <v>-0.001</v>
      </c>
      <c r="J21" s="45" t="n">
        <v>552.53</v>
      </c>
      <c r="K21" s="45" t="n">
        <v>-0.53</v>
      </c>
      <c r="L21" s="45" t="n">
        <v>200.53</v>
      </c>
      <c r="M21" s="45" t="n">
        <v>400.6</v>
      </c>
      <c r="N21" s="47" t="n">
        <v>0.5</v>
      </c>
    </row>
    <row r="22" customFormat="false" ht="18" hidden="false" customHeight="true" outlineLevel="0" collapsed="false">
      <c r="A22" s="40" t="s">
        <v>23</v>
      </c>
      <c r="B22" s="40" t="s">
        <v>75</v>
      </c>
      <c r="C22" s="41" t="n">
        <v>3371.26</v>
      </c>
      <c r="D22" s="41" t="n">
        <v>721.27</v>
      </c>
      <c r="E22" s="41" t="n">
        <v>4092.53</v>
      </c>
      <c r="F22" s="41" t="n">
        <v>2865.571</v>
      </c>
      <c r="G22" s="41" t="n">
        <v>600</v>
      </c>
      <c r="H22" s="41" t="n">
        <v>3465.57</v>
      </c>
      <c r="I22" s="48" t="n">
        <v>0.1506</v>
      </c>
      <c r="J22" s="41" t="n">
        <v>2943.7</v>
      </c>
      <c r="K22" s="41" t="n">
        <v>521.87</v>
      </c>
      <c r="L22" s="41"/>
      <c r="M22" s="41"/>
      <c r="N22" s="43" t="n">
        <v>0.5</v>
      </c>
    </row>
    <row r="23" customFormat="false" ht="18" hidden="false" customHeight="true" outlineLevel="0" collapsed="false">
      <c r="A23" s="44" t="s">
        <v>22</v>
      </c>
      <c r="B23" s="44" t="s">
        <v>75</v>
      </c>
      <c r="C23" s="45" t="n">
        <v>1850.24</v>
      </c>
      <c r="D23" s="45" t="n">
        <v>766.67</v>
      </c>
      <c r="E23" s="45" t="n">
        <v>2616.91</v>
      </c>
      <c r="F23" s="45" t="n">
        <v>1572.704</v>
      </c>
      <c r="G23" s="45" t="n">
        <v>600</v>
      </c>
      <c r="H23" s="45" t="n">
        <v>2172.7</v>
      </c>
      <c r="I23" s="49" t="n">
        <v>0.2402</v>
      </c>
      <c r="J23" s="45" t="n">
        <v>1650.83</v>
      </c>
      <c r="K23" s="45" t="n">
        <v>521.87</v>
      </c>
      <c r="L23" s="45"/>
      <c r="M23" s="45"/>
      <c r="N23" s="47" t="n">
        <v>0.5</v>
      </c>
    </row>
    <row r="24" customFormat="false" ht="18" hidden="false" customHeight="true" outlineLevel="0" collapsed="false">
      <c r="A24" s="40" t="s">
        <v>21</v>
      </c>
      <c r="B24" s="40" t="s">
        <v>75</v>
      </c>
      <c r="C24" s="41" t="n">
        <v>1552.14</v>
      </c>
      <c r="D24" s="41" t="n">
        <v>749.21</v>
      </c>
      <c r="E24" s="41" t="n">
        <v>2301.35</v>
      </c>
      <c r="F24" s="41" t="n">
        <v>1319.319</v>
      </c>
      <c r="G24" s="41" t="n">
        <v>500</v>
      </c>
      <c r="H24" s="41" t="n">
        <v>1819.32</v>
      </c>
      <c r="I24" s="48" t="n">
        <v>0.2319</v>
      </c>
      <c r="J24" s="41" t="n">
        <v>1397.44</v>
      </c>
      <c r="K24" s="41" t="n">
        <v>421.88</v>
      </c>
      <c r="L24" s="41"/>
      <c r="M24" s="41"/>
      <c r="N24" s="43" t="n">
        <v>0.5</v>
      </c>
    </row>
    <row r="25" customFormat="false" ht="18" hidden="false" customHeight="true" outlineLevel="0" collapsed="false">
      <c r="A25" s="44" t="s">
        <v>18</v>
      </c>
      <c r="B25" s="44" t="s">
        <v>75</v>
      </c>
      <c r="C25" s="45" t="n">
        <v>1852.76</v>
      </c>
      <c r="D25" s="45" t="n">
        <v>622.22</v>
      </c>
      <c r="E25" s="45" t="n">
        <v>2474.98</v>
      </c>
      <c r="F25" s="45" t="n">
        <v>1574.846</v>
      </c>
      <c r="G25" s="45" t="n">
        <v>600</v>
      </c>
      <c r="H25" s="45" t="n">
        <v>2174.85</v>
      </c>
      <c r="I25" s="49" t="n">
        <v>0.0715</v>
      </c>
      <c r="J25" s="45" t="n">
        <v>2019.29</v>
      </c>
      <c r="K25" s="45" t="n">
        <v>155.56</v>
      </c>
      <c r="L25" s="45" t="n">
        <v>444.44</v>
      </c>
      <c r="M25" s="45" t="n">
        <v>1852.76</v>
      </c>
      <c r="N25" s="47" t="n">
        <v>0.5</v>
      </c>
    </row>
    <row r="26" customFormat="false" ht="18" hidden="false" customHeight="true" outlineLevel="0" collapsed="false">
      <c r="A26" s="40" t="s">
        <v>20</v>
      </c>
      <c r="B26" s="40" t="s">
        <v>75</v>
      </c>
      <c r="C26" s="41" t="n">
        <v>171.56</v>
      </c>
      <c r="D26" s="41" t="n">
        <v>678.86</v>
      </c>
      <c r="E26" s="41" t="n">
        <v>850.42</v>
      </c>
      <c r="F26" s="41" t="n">
        <v>145.826</v>
      </c>
      <c r="G26" s="41" t="n">
        <v>600</v>
      </c>
      <c r="H26" s="41" t="n">
        <v>745.83</v>
      </c>
      <c r="I26" s="48" t="n">
        <v>0.2682</v>
      </c>
      <c r="J26" s="41" t="n">
        <v>545.83</v>
      </c>
      <c r="K26" s="41" t="n">
        <v>200</v>
      </c>
      <c r="L26" s="41" t="n">
        <v>400</v>
      </c>
      <c r="M26" s="41" t="n">
        <v>1748.4</v>
      </c>
      <c r="N26" s="43" t="n">
        <v>0.5</v>
      </c>
    </row>
    <row r="27" customFormat="false" ht="18" hidden="false" customHeight="true" outlineLevel="0" collapsed="false">
      <c r="A27" s="44" t="s">
        <v>23</v>
      </c>
      <c r="B27" s="44" t="s">
        <v>76</v>
      </c>
      <c r="C27" s="45" t="n">
        <v>48.62</v>
      </c>
      <c r="D27" s="45" t="n">
        <v>424.67</v>
      </c>
      <c r="E27" s="45" t="n">
        <v>473.29</v>
      </c>
      <c r="F27" s="45" t="n">
        <v>41.327</v>
      </c>
      <c r="G27" s="45" t="n">
        <v>250</v>
      </c>
      <c r="H27" s="45" t="n">
        <v>291.33</v>
      </c>
      <c r="I27" s="46" t="n">
        <v>0.3218</v>
      </c>
      <c r="J27" s="45" t="n">
        <v>197.58</v>
      </c>
      <c r="K27" s="45" t="n">
        <v>93.75</v>
      </c>
      <c r="L27" s="45"/>
      <c r="M27" s="45"/>
      <c r="N27" s="47" t="n">
        <v>1</v>
      </c>
    </row>
    <row r="28" customFormat="false" ht="18" hidden="false" customHeight="true" outlineLevel="0" collapsed="false">
      <c r="A28" s="40" t="s">
        <v>22</v>
      </c>
      <c r="B28" s="40" t="s">
        <v>76</v>
      </c>
      <c r="C28" s="41" t="n">
        <v>49.5</v>
      </c>
      <c r="D28" s="41" t="n">
        <v>440</v>
      </c>
      <c r="E28" s="41" t="n">
        <v>489.5</v>
      </c>
      <c r="F28" s="41" t="n">
        <v>42.075</v>
      </c>
      <c r="G28" s="41" t="n">
        <v>250</v>
      </c>
      <c r="H28" s="41" t="n">
        <v>292.07</v>
      </c>
      <c r="I28" s="42" t="n">
        <v>0.321</v>
      </c>
      <c r="J28" s="41" t="n">
        <v>198.32</v>
      </c>
      <c r="K28" s="41" t="n">
        <v>93.75</v>
      </c>
      <c r="L28" s="41"/>
      <c r="M28" s="41"/>
      <c r="N28" s="43" t="n">
        <v>1</v>
      </c>
    </row>
    <row r="29" customFormat="false" ht="18" hidden="false" customHeight="true" outlineLevel="0" collapsed="false">
      <c r="A29" s="44" t="s">
        <v>21</v>
      </c>
      <c r="B29" s="44" t="s">
        <v>76</v>
      </c>
      <c r="C29" s="45" t="n">
        <v>54.83</v>
      </c>
      <c r="D29" s="45" t="n">
        <v>427.36</v>
      </c>
      <c r="E29" s="45" t="n">
        <v>482.19</v>
      </c>
      <c r="F29" s="45" t="n">
        <v>46.6055</v>
      </c>
      <c r="G29" s="45" t="n">
        <v>250</v>
      </c>
      <c r="H29" s="45" t="n">
        <v>296.61</v>
      </c>
      <c r="I29" s="46" t="n">
        <v>0.3161</v>
      </c>
      <c r="J29" s="45" t="n">
        <v>202.86</v>
      </c>
      <c r="K29" s="45" t="n">
        <v>93.75</v>
      </c>
      <c r="L29" s="45"/>
      <c r="M29" s="45"/>
      <c r="N29" s="47" t="n">
        <v>1</v>
      </c>
    </row>
    <row r="30" customFormat="false" ht="18" hidden="false" customHeight="true" outlineLevel="0" collapsed="false">
      <c r="A30" s="40" t="s">
        <v>18</v>
      </c>
      <c r="B30" s="40" t="s">
        <v>76</v>
      </c>
      <c r="C30" s="41" t="n">
        <v>50</v>
      </c>
      <c r="D30" s="41" t="n">
        <v>400</v>
      </c>
      <c r="E30" s="41" t="n">
        <v>450</v>
      </c>
      <c r="F30" s="41" t="n">
        <v>42.5</v>
      </c>
      <c r="G30" s="41" t="n">
        <v>250</v>
      </c>
      <c r="H30" s="41" t="n">
        <v>292.5</v>
      </c>
      <c r="I30" s="48" t="n">
        <v>-0.4558</v>
      </c>
      <c r="J30" s="41" t="n">
        <v>425.83</v>
      </c>
      <c r="K30" s="41" t="n">
        <v>-133.33</v>
      </c>
      <c r="L30" s="41" t="n">
        <v>383.33</v>
      </c>
      <c r="M30" s="41" t="n">
        <v>47.92</v>
      </c>
      <c r="N30" s="43" t="n">
        <v>1</v>
      </c>
    </row>
    <row r="31" customFormat="false" ht="18" hidden="false" customHeight="true" outlineLevel="0" collapsed="false">
      <c r="A31" s="44" t="s">
        <v>20</v>
      </c>
      <c r="B31" s="44" t="s">
        <v>76</v>
      </c>
      <c r="C31" s="45" t="n">
        <v>52.5</v>
      </c>
      <c r="D31" s="45" t="n">
        <v>419.68</v>
      </c>
      <c r="E31" s="45" t="n">
        <v>472.18</v>
      </c>
      <c r="F31" s="45" t="n">
        <v>44.625</v>
      </c>
      <c r="G31" s="45" t="n">
        <v>250</v>
      </c>
      <c r="H31" s="45" t="n">
        <v>294.62</v>
      </c>
      <c r="I31" s="49" t="n">
        <v>-0.454</v>
      </c>
      <c r="J31" s="45" t="n">
        <v>428.38</v>
      </c>
      <c r="K31" s="45" t="n">
        <v>-133.76</v>
      </c>
      <c r="L31" s="45" t="n">
        <v>383.76</v>
      </c>
      <c r="M31" s="45" t="n">
        <v>48.04</v>
      </c>
      <c r="N31" s="47" t="n">
        <v>1</v>
      </c>
    </row>
    <row r="32" customFormat="false" ht="18" hidden="false" customHeight="true" outlineLevel="0" collapsed="false">
      <c r="A32" s="40" t="s">
        <v>23</v>
      </c>
      <c r="B32" s="40" t="s">
        <v>77</v>
      </c>
      <c r="C32" s="41" t="n">
        <v>0</v>
      </c>
      <c r="D32" s="41" t="n">
        <v>561.11</v>
      </c>
      <c r="E32" s="41" t="n">
        <v>561.11</v>
      </c>
      <c r="F32" s="41" t="n">
        <v>0</v>
      </c>
      <c r="G32" s="41" t="n">
        <v>500</v>
      </c>
      <c r="H32" s="41" t="n">
        <v>500</v>
      </c>
      <c r="I32" s="48" t="n">
        <v>-0.11</v>
      </c>
      <c r="J32" s="41" t="n">
        <v>555</v>
      </c>
      <c r="K32" s="41" t="n">
        <v>-55</v>
      </c>
      <c r="L32" s="41" t="n">
        <v>555</v>
      </c>
      <c r="M32" s="41" t="n">
        <v>9.48</v>
      </c>
      <c r="N32" s="43" t="n">
        <v>1</v>
      </c>
    </row>
    <row r="33" customFormat="false" ht="18" hidden="false" customHeight="true" outlineLevel="0" collapsed="false">
      <c r="A33" s="44" t="s">
        <v>22</v>
      </c>
      <c r="B33" s="44" t="s">
        <v>77</v>
      </c>
      <c r="C33" s="45" t="n">
        <v>0</v>
      </c>
      <c r="D33" s="45" t="n">
        <v>565</v>
      </c>
      <c r="E33" s="45" t="n">
        <v>565</v>
      </c>
      <c r="F33" s="45" t="n">
        <v>0</v>
      </c>
      <c r="G33" s="45" t="n">
        <v>500</v>
      </c>
      <c r="H33" s="45" t="n">
        <v>500</v>
      </c>
      <c r="I33" s="49" t="n">
        <v>-0.13</v>
      </c>
      <c r="J33" s="45" t="n">
        <v>565</v>
      </c>
      <c r="K33" s="45" t="n">
        <v>-65</v>
      </c>
      <c r="L33" s="45" t="n">
        <v>565</v>
      </c>
      <c r="M33" s="45" t="n">
        <v>0</v>
      </c>
      <c r="N33" s="47" t="n">
        <v>1</v>
      </c>
    </row>
    <row r="34" customFormat="false" ht="18" hidden="false" customHeight="true" outlineLevel="0" collapsed="false">
      <c r="A34" s="40" t="s">
        <v>21</v>
      </c>
      <c r="B34" s="40" t="s">
        <v>77</v>
      </c>
      <c r="C34" s="41" t="n">
        <v>0</v>
      </c>
      <c r="D34" s="41" t="n">
        <v>569.05</v>
      </c>
      <c r="E34" s="41" t="n">
        <v>569.05</v>
      </c>
      <c r="F34" s="41" t="n">
        <v>0</v>
      </c>
      <c r="G34" s="41" t="n">
        <v>500</v>
      </c>
      <c r="H34" s="41" t="n">
        <v>500</v>
      </c>
      <c r="I34" s="50" t="n">
        <v>0.6875</v>
      </c>
      <c r="J34" s="41" t="n">
        <v>156.25</v>
      </c>
      <c r="K34" s="41" t="n">
        <v>343.75</v>
      </c>
      <c r="L34" s="41"/>
      <c r="M34" s="41"/>
      <c r="N34" s="43" t="n">
        <v>1</v>
      </c>
    </row>
    <row r="35" customFormat="false" ht="18" hidden="false" customHeight="true" outlineLevel="0" collapsed="false">
      <c r="A35" s="44" t="s">
        <v>18</v>
      </c>
      <c r="B35" s="44" t="s">
        <v>77</v>
      </c>
      <c r="C35" s="45" t="n">
        <v>0</v>
      </c>
      <c r="D35" s="45" t="n">
        <v>565</v>
      </c>
      <c r="E35" s="45" t="n">
        <v>565</v>
      </c>
      <c r="F35" s="45" t="n">
        <v>0</v>
      </c>
      <c r="G35" s="45" t="n">
        <v>500</v>
      </c>
      <c r="H35" s="45" t="n">
        <v>500</v>
      </c>
      <c r="I35" s="49" t="n">
        <v>-0.13</v>
      </c>
      <c r="J35" s="45" t="n">
        <v>565</v>
      </c>
      <c r="K35" s="45" t="n">
        <v>-65</v>
      </c>
      <c r="L35" s="45" t="n">
        <v>565</v>
      </c>
      <c r="M35" s="45" t="n">
        <v>0</v>
      </c>
      <c r="N35" s="47" t="n">
        <v>1</v>
      </c>
    </row>
    <row r="36" customFormat="false" ht="18" hidden="false" customHeight="true" outlineLevel="0" collapsed="false">
      <c r="A36" s="40" t="s">
        <v>20</v>
      </c>
      <c r="B36" s="40" t="s">
        <v>77</v>
      </c>
      <c r="C36" s="41" t="n">
        <v>0</v>
      </c>
      <c r="D36" s="41" t="n">
        <v>565</v>
      </c>
      <c r="E36" s="41" t="n">
        <v>565</v>
      </c>
      <c r="F36" s="41" t="n">
        <v>0</v>
      </c>
      <c r="G36" s="41" t="n">
        <v>500</v>
      </c>
      <c r="H36" s="41" t="n">
        <v>500</v>
      </c>
      <c r="I36" s="48" t="n">
        <v>-0.1391</v>
      </c>
      <c r="J36" s="41" t="n">
        <v>569.57</v>
      </c>
      <c r="K36" s="41" t="n">
        <v>-69.57</v>
      </c>
      <c r="L36" s="41" t="n">
        <v>569.57</v>
      </c>
      <c r="M36" s="41" t="n">
        <v>27.65</v>
      </c>
      <c r="N36" s="43" t="n">
        <v>1</v>
      </c>
    </row>
    <row r="37" customFormat="false" ht="18" hidden="false" customHeight="true" outlineLevel="0" collapsed="false">
      <c r="A37" s="44" t="s">
        <v>22</v>
      </c>
      <c r="B37" s="44" t="s">
        <v>78</v>
      </c>
      <c r="C37" s="45" t="n">
        <v>803.12</v>
      </c>
      <c r="D37" s="45" t="n">
        <v>350</v>
      </c>
      <c r="E37" s="45" t="n">
        <v>1153.12</v>
      </c>
      <c r="F37" s="45" t="n">
        <v>682.652</v>
      </c>
      <c r="G37" s="45" t="n">
        <v>300</v>
      </c>
      <c r="H37" s="45" t="n">
        <v>982.65</v>
      </c>
      <c r="I37" s="49" t="n">
        <v>-0.0382</v>
      </c>
      <c r="J37" s="45" t="n">
        <v>1020.15</v>
      </c>
      <c r="K37" s="45" t="n">
        <v>-37.5</v>
      </c>
      <c r="L37" s="45" t="n">
        <v>337.5</v>
      </c>
      <c r="M37" s="45" t="n">
        <v>762.49</v>
      </c>
      <c r="N37" s="47" t="n">
        <v>0.5</v>
      </c>
    </row>
    <row r="38" customFormat="false" ht="18" hidden="false" customHeight="true" outlineLevel="0" collapsed="false">
      <c r="A38" s="40" t="s">
        <v>21</v>
      </c>
      <c r="B38" s="40" t="s">
        <v>78</v>
      </c>
      <c r="C38" s="41" t="n">
        <v>949.66</v>
      </c>
      <c r="D38" s="41" t="n">
        <v>350.94</v>
      </c>
      <c r="E38" s="41" t="n">
        <v>1300.6</v>
      </c>
      <c r="F38" s="41" t="n">
        <v>807.211</v>
      </c>
      <c r="G38" s="41" t="n">
        <v>300</v>
      </c>
      <c r="H38" s="41" t="n">
        <v>1107.21</v>
      </c>
      <c r="I38" s="48" t="n">
        <v>0.2004</v>
      </c>
      <c r="J38" s="41" t="n">
        <v>885.34</v>
      </c>
      <c r="K38" s="41" t="n">
        <v>221.87</v>
      </c>
      <c r="L38" s="41"/>
      <c r="M38" s="41"/>
      <c r="N38" s="43" t="n">
        <v>0.5</v>
      </c>
    </row>
    <row r="39" customFormat="false" ht="18" hidden="false" customHeight="true" outlineLevel="0" collapsed="false">
      <c r="A39" s="44" t="s">
        <v>18</v>
      </c>
      <c r="B39" s="44" t="s">
        <v>78</v>
      </c>
      <c r="C39" s="45" t="n">
        <v>698.25</v>
      </c>
      <c r="D39" s="45" t="n">
        <v>350</v>
      </c>
      <c r="E39" s="45" t="n">
        <v>1048.25</v>
      </c>
      <c r="F39" s="45" t="n">
        <v>593.5125</v>
      </c>
      <c r="G39" s="45" t="n">
        <v>300</v>
      </c>
      <c r="H39" s="45" t="n">
        <v>893.51</v>
      </c>
      <c r="I39" s="49" t="n">
        <v>-0.056</v>
      </c>
      <c r="J39" s="45" t="n">
        <v>943.51</v>
      </c>
      <c r="K39" s="45" t="n">
        <v>-50</v>
      </c>
      <c r="L39" s="45" t="n">
        <v>350</v>
      </c>
      <c r="M39" s="45" t="n">
        <v>698.25</v>
      </c>
      <c r="N39" s="47" t="n">
        <v>0.5</v>
      </c>
    </row>
    <row r="40" customFormat="false" ht="18" hidden="false" customHeight="true" outlineLevel="0" collapsed="false">
      <c r="A40" s="40" t="s">
        <v>20</v>
      </c>
      <c r="B40" s="40" t="s">
        <v>78</v>
      </c>
      <c r="C40" s="41" t="n">
        <v>759.9</v>
      </c>
      <c r="D40" s="41" t="n">
        <v>350.72</v>
      </c>
      <c r="E40" s="41" t="n">
        <v>1110.62</v>
      </c>
      <c r="F40" s="41" t="n">
        <v>645.915</v>
      </c>
      <c r="G40" s="41" t="n">
        <v>300</v>
      </c>
      <c r="H40" s="41" t="n">
        <v>945.91</v>
      </c>
      <c r="I40" s="48" t="n">
        <v>-0.0405</v>
      </c>
      <c r="J40" s="41" t="n">
        <v>984.21</v>
      </c>
      <c r="K40" s="41" t="n">
        <v>-38.3</v>
      </c>
      <c r="L40" s="41" t="n">
        <v>338.3</v>
      </c>
      <c r="M40" s="41" t="n">
        <v>733.71</v>
      </c>
      <c r="N40" s="43" t="n">
        <v>0.5</v>
      </c>
    </row>
    <row r="41" customFormat="false" ht="18" hidden="false" customHeight="true" outlineLevel="0" collapsed="false">
      <c r="A41" s="44" t="s">
        <v>23</v>
      </c>
      <c r="B41" s="44" t="s">
        <v>79</v>
      </c>
      <c r="C41" s="45" t="n">
        <v>1826.37</v>
      </c>
      <c r="D41" s="45" t="n">
        <v>760.98</v>
      </c>
      <c r="E41" s="45" t="n">
        <v>2587.35</v>
      </c>
      <c r="F41" s="45" t="n">
        <v>1552.4145</v>
      </c>
      <c r="G41" s="45" t="n">
        <v>600</v>
      </c>
      <c r="H41" s="45" t="n">
        <v>2152.41</v>
      </c>
      <c r="I41" s="49" t="n">
        <v>0.094</v>
      </c>
      <c r="J41" s="45" t="n">
        <v>1950.06</v>
      </c>
      <c r="K41" s="45" t="n">
        <v>202.35</v>
      </c>
      <c r="L41" s="45" t="n">
        <v>397.65</v>
      </c>
      <c r="M41" s="45" t="n">
        <v>1758.64</v>
      </c>
      <c r="N41" s="47" t="n">
        <v>1.5</v>
      </c>
    </row>
    <row r="42" customFormat="false" ht="18" hidden="false" customHeight="true" outlineLevel="0" collapsed="false">
      <c r="A42" s="40" t="s">
        <v>22</v>
      </c>
      <c r="B42" s="40" t="s">
        <v>79</v>
      </c>
      <c r="C42" s="41" t="n">
        <v>1880.68</v>
      </c>
      <c r="D42" s="41" t="n">
        <v>914.29</v>
      </c>
      <c r="E42" s="41" t="n">
        <v>2794.97</v>
      </c>
      <c r="F42" s="41" t="n">
        <v>1598.578</v>
      </c>
      <c r="G42" s="41" t="n">
        <v>600</v>
      </c>
      <c r="H42" s="41" t="n">
        <v>2198.58</v>
      </c>
      <c r="I42" s="48" t="n">
        <v>0.091</v>
      </c>
      <c r="J42" s="41" t="n">
        <v>1998.58</v>
      </c>
      <c r="K42" s="41" t="n">
        <v>200</v>
      </c>
      <c r="L42" s="41" t="n">
        <v>400</v>
      </c>
      <c r="M42" s="41" t="n">
        <v>1343.34</v>
      </c>
      <c r="N42" s="43" t="n">
        <v>1.5</v>
      </c>
    </row>
    <row r="43" customFormat="false" ht="18" hidden="false" customHeight="true" outlineLevel="0" collapsed="false">
      <c r="A43" s="44" t="s">
        <v>21</v>
      </c>
      <c r="B43" s="44" t="s">
        <v>79</v>
      </c>
      <c r="C43" s="45" t="n">
        <v>2281.41</v>
      </c>
      <c r="D43" s="45" t="n">
        <v>822.22</v>
      </c>
      <c r="E43" s="45" t="n">
        <v>3103.63</v>
      </c>
      <c r="F43" s="45" t="n">
        <v>1939.1985</v>
      </c>
      <c r="G43" s="45" t="n">
        <v>600</v>
      </c>
      <c r="H43" s="45" t="n">
        <v>2539.2</v>
      </c>
      <c r="I43" s="49" t="n">
        <v>0.1748</v>
      </c>
      <c r="J43" s="45" t="n">
        <v>2095.45</v>
      </c>
      <c r="K43" s="45" t="n">
        <v>443.75</v>
      </c>
      <c r="L43" s="45"/>
      <c r="M43" s="45"/>
      <c r="N43" s="47" t="n">
        <v>1</v>
      </c>
    </row>
    <row r="44" customFormat="false" ht="18" hidden="false" customHeight="true" outlineLevel="0" collapsed="false">
      <c r="A44" s="40" t="s">
        <v>18</v>
      </c>
      <c r="B44" s="40" t="s">
        <v>79</v>
      </c>
      <c r="C44" s="41" t="n">
        <v>2046.19</v>
      </c>
      <c r="D44" s="41" t="n">
        <v>800</v>
      </c>
      <c r="E44" s="41" t="n">
        <v>2846.19</v>
      </c>
      <c r="F44" s="41" t="n">
        <v>1739.2615</v>
      </c>
      <c r="G44" s="41" t="n">
        <v>600</v>
      </c>
      <c r="H44" s="41" t="n">
        <v>2339.26</v>
      </c>
      <c r="I44" s="48" t="n">
        <v>0.0855</v>
      </c>
      <c r="J44" s="41" t="n">
        <v>2139.26</v>
      </c>
      <c r="K44" s="41" t="n">
        <v>200</v>
      </c>
      <c r="L44" s="41" t="n">
        <v>400</v>
      </c>
      <c r="M44" s="41" t="n">
        <v>2046.19</v>
      </c>
      <c r="N44" s="43" t="n">
        <v>1</v>
      </c>
    </row>
    <row r="45" customFormat="false" ht="18" hidden="false" customHeight="true" outlineLevel="0" collapsed="false">
      <c r="A45" s="44" t="s">
        <v>20</v>
      </c>
      <c r="B45" s="44" t="s">
        <v>79</v>
      </c>
      <c r="C45" s="45" t="n">
        <v>1842.86</v>
      </c>
      <c r="D45" s="45" t="n">
        <v>777.53</v>
      </c>
      <c r="E45" s="45" t="n">
        <v>2620.39</v>
      </c>
      <c r="F45" s="45" t="n">
        <v>1566.431</v>
      </c>
      <c r="G45" s="45" t="n">
        <v>600</v>
      </c>
      <c r="H45" s="45" t="n">
        <v>2166.43</v>
      </c>
      <c r="I45" s="49" t="n">
        <v>0.0938</v>
      </c>
      <c r="J45" s="45" t="n">
        <v>1963.2</v>
      </c>
      <c r="K45" s="45" t="n">
        <v>203.23</v>
      </c>
      <c r="L45" s="45" t="n">
        <v>396.77</v>
      </c>
      <c r="M45" s="45" t="n">
        <v>1797.87</v>
      </c>
      <c r="N45" s="47" t="n">
        <v>1.5</v>
      </c>
    </row>
    <row r="46" customFormat="false" ht="18" hidden="false" customHeight="true" outlineLevel="0" collapsed="false">
      <c r="A46" s="40" t="s">
        <v>23</v>
      </c>
      <c r="B46" s="40" t="s">
        <v>80</v>
      </c>
      <c r="C46" s="41" t="n">
        <v>625</v>
      </c>
      <c r="D46" s="41" t="n">
        <v>800</v>
      </c>
      <c r="E46" s="41" t="n">
        <v>1425</v>
      </c>
      <c r="F46" s="41" t="n">
        <v>531.25</v>
      </c>
      <c r="G46" s="41" t="n">
        <v>500</v>
      </c>
      <c r="H46" s="41" t="n">
        <v>1031.25</v>
      </c>
      <c r="I46" s="48" t="n">
        <v>0.0941</v>
      </c>
      <c r="J46" s="41" t="n">
        <v>934.24</v>
      </c>
      <c r="K46" s="41" t="n">
        <v>97.01</v>
      </c>
      <c r="L46" s="41" t="n">
        <v>402.99</v>
      </c>
      <c r="M46" s="41" t="n">
        <v>489.47</v>
      </c>
      <c r="N46" s="43" t="n">
        <v>1.5</v>
      </c>
    </row>
    <row r="47" customFormat="false" ht="18" hidden="false" customHeight="true" outlineLevel="0" collapsed="false">
      <c r="A47" s="44" t="s">
        <v>22</v>
      </c>
      <c r="B47" s="44" t="s">
        <v>80</v>
      </c>
      <c r="C47" s="45" t="n">
        <v>389.93</v>
      </c>
      <c r="D47" s="45" t="n">
        <v>720</v>
      </c>
      <c r="E47" s="45" t="n">
        <v>1109.93</v>
      </c>
      <c r="F47" s="45" t="n">
        <v>331.4405</v>
      </c>
      <c r="G47" s="45" t="n">
        <v>500</v>
      </c>
      <c r="H47" s="45" t="n">
        <v>831.44</v>
      </c>
      <c r="I47" s="49" t="n">
        <v>0.1203</v>
      </c>
      <c r="J47" s="45" t="n">
        <v>731.44</v>
      </c>
      <c r="K47" s="45" t="n">
        <v>100</v>
      </c>
      <c r="L47" s="45" t="n">
        <v>400</v>
      </c>
      <c r="M47" s="45" t="n">
        <v>303.59</v>
      </c>
      <c r="N47" s="47" t="n">
        <v>1.5</v>
      </c>
    </row>
    <row r="48" customFormat="false" ht="18" hidden="false" customHeight="true" outlineLevel="0" collapsed="false">
      <c r="A48" s="40" t="s">
        <v>21</v>
      </c>
      <c r="B48" s="40" t="s">
        <v>80</v>
      </c>
      <c r="C48" s="41" t="n">
        <v>630.5</v>
      </c>
      <c r="D48" s="41" t="n">
        <v>800</v>
      </c>
      <c r="E48" s="41" t="n">
        <v>1430.5</v>
      </c>
      <c r="F48" s="41" t="n">
        <v>535.925</v>
      </c>
      <c r="G48" s="41" t="n">
        <v>500</v>
      </c>
      <c r="H48" s="41" t="n">
        <v>1035.92</v>
      </c>
      <c r="I48" s="42" t="n">
        <v>0.3318</v>
      </c>
      <c r="J48" s="41" t="n">
        <v>692.17</v>
      </c>
      <c r="K48" s="41" t="n">
        <v>343.75</v>
      </c>
      <c r="L48" s="41"/>
      <c r="M48" s="41"/>
      <c r="N48" s="43" t="n">
        <v>1</v>
      </c>
    </row>
    <row r="49" customFormat="false" ht="18" hidden="false" customHeight="true" outlineLevel="0" collapsed="false">
      <c r="A49" s="44" t="s">
        <v>18</v>
      </c>
      <c r="B49" s="44" t="s">
        <v>80</v>
      </c>
      <c r="C49" s="45" t="n">
        <v>2046.19</v>
      </c>
      <c r="D49" s="45" t="n">
        <v>800</v>
      </c>
      <c r="E49" s="45" t="n">
        <v>2846.19</v>
      </c>
      <c r="F49" s="45" t="n">
        <v>1739.2615</v>
      </c>
      <c r="G49" s="45" t="n">
        <v>500</v>
      </c>
      <c r="H49" s="45" t="n">
        <v>2239.26</v>
      </c>
      <c r="I49" s="49" t="n">
        <v>0.0447</v>
      </c>
      <c r="J49" s="45" t="n">
        <v>2139.26</v>
      </c>
      <c r="K49" s="45" t="n">
        <v>100</v>
      </c>
      <c r="L49" s="45" t="n">
        <v>400</v>
      </c>
      <c r="M49" s="45" t="n">
        <v>655</v>
      </c>
      <c r="N49" s="47" t="n">
        <v>1</v>
      </c>
    </row>
    <row r="50" customFormat="false" ht="18" hidden="false" customHeight="true" outlineLevel="0" collapsed="false">
      <c r="A50" s="40" t="s">
        <v>20</v>
      </c>
      <c r="B50" s="40" t="s">
        <v>80</v>
      </c>
      <c r="C50" s="41" t="n">
        <v>549.05</v>
      </c>
      <c r="D50" s="41" t="n">
        <v>788.57</v>
      </c>
      <c r="E50" s="41" t="n">
        <v>1337.62</v>
      </c>
      <c r="F50" s="41" t="n">
        <v>466.6925</v>
      </c>
      <c r="G50" s="41" t="n">
        <v>500</v>
      </c>
      <c r="H50" s="41" t="n">
        <v>966.69</v>
      </c>
      <c r="I50" s="48" t="n">
        <v>0.1188</v>
      </c>
      <c r="J50" s="41" t="n">
        <v>851.83</v>
      </c>
      <c r="K50" s="41" t="n">
        <v>114.86</v>
      </c>
      <c r="L50" s="41" t="n">
        <v>385.14</v>
      </c>
      <c r="M50" s="41" t="n">
        <v>532.58</v>
      </c>
      <c r="N50" s="43" t="n">
        <v>1.5</v>
      </c>
    </row>
    <row r="51" customFormat="false" ht="18" hidden="false" customHeight="true" outlineLevel="0" collapsed="false">
      <c r="A51" s="44" t="s">
        <v>23</v>
      </c>
      <c r="B51" s="44" t="s">
        <v>81</v>
      </c>
      <c r="C51" s="45" t="n">
        <v>727.67</v>
      </c>
      <c r="D51" s="45" t="n">
        <v>825</v>
      </c>
      <c r="E51" s="45" t="n">
        <v>1552.67</v>
      </c>
      <c r="F51" s="45" t="n">
        <v>618.5195</v>
      </c>
      <c r="G51" s="45" t="n">
        <v>600</v>
      </c>
      <c r="H51" s="45" t="n">
        <v>1218.52</v>
      </c>
      <c r="I51" s="49" t="n">
        <v>0</v>
      </c>
      <c r="J51" s="45" t="n">
        <v>1218.52</v>
      </c>
      <c r="K51" s="45" t="n">
        <v>0</v>
      </c>
      <c r="L51" s="45" t="n">
        <v>600</v>
      </c>
      <c r="M51" s="45" t="n">
        <v>727.67</v>
      </c>
      <c r="N51" s="47" t="n">
        <v>1</v>
      </c>
    </row>
    <row r="52" customFormat="false" ht="18" hidden="false" customHeight="true" outlineLevel="0" collapsed="false">
      <c r="A52" s="40" t="s">
        <v>22</v>
      </c>
      <c r="B52" s="40" t="s">
        <v>81</v>
      </c>
      <c r="C52" s="41" t="n">
        <v>1073.33</v>
      </c>
      <c r="D52" s="41" t="n">
        <v>756.25</v>
      </c>
      <c r="E52" s="41" t="n">
        <v>1829.58</v>
      </c>
      <c r="F52" s="41" t="n">
        <v>912.3305</v>
      </c>
      <c r="G52" s="41" t="n">
        <v>600</v>
      </c>
      <c r="H52" s="41" t="n">
        <v>1512.33</v>
      </c>
      <c r="I52" s="48" t="n">
        <v>-0.0909</v>
      </c>
      <c r="J52" s="41" t="n">
        <v>1649.83</v>
      </c>
      <c r="K52" s="41" t="n">
        <v>-137.5</v>
      </c>
      <c r="L52" s="41" t="n">
        <v>737.5</v>
      </c>
      <c r="M52" s="41" t="n">
        <v>788.38</v>
      </c>
      <c r="N52" s="43" t="n">
        <v>1</v>
      </c>
    </row>
    <row r="53" customFormat="false" ht="18" hidden="false" customHeight="true" outlineLevel="0" collapsed="false">
      <c r="A53" s="44" t="s">
        <v>21</v>
      </c>
      <c r="B53" s="44" t="s">
        <v>81</v>
      </c>
      <c r="C53" s="45" t="n">
        <v>1246.5</v>
      </c>
      <c r="D53" s="45" t="n">
        <v>1160.69</v>
      </c>
      <c r="E53" s="45" t="n">
        <v>2407.19</v>
      </c>
      <c r="F53" s="45" t="n">
        <v>1059.525</v>
      </c>
      <c r="G53" s="45" t="n">
        <v>600</v>
      </c>
      <c r="H53" s="45" t="n">
        <v>1659.53</v>
      </c>
      <c r="I53" s="49" t="n">
        <v>0.2674</v>
      </c>
      <c r="J53" s="45" t="n">
        <v>1215.78</v>
      </c>
      <c r="K53" s="45" t="n">
        <v>443.75</v>
      </c>
      <c r="L53" s="45"/>
      <c r="M53" s="45"/>
      <c r="N53" s="47" t="n">
        <v>1</v>
      </c>
    </row>
    <row r="54" customFormat="false" ht="18" hidden="false" customHeight="true" outlineLevel="0" collapsed="false">
      <c r="A54" s="40" t="s">
        <v>18</v>
      </c>
      <c r="B54" s="40" t="s">
        <v>81</v>
      </c>
      <c r="C54" s="41" t="n">
        <v>816</v>
      </c>
      <c r="D54" s="41" t="n">
        <v>690</v>
      </c>
      <c r="E54" s="41" t="n">
        <v>1506</v>
      </c>
      <c r="F54" s="41" t="n">
        <v>693.6</v>
      </c>
      <c r="G54" s="41" t="n">
        <v>600</v>
      </c>
      <c r="H54" s="41" t="n">
        <v>1293.6</v>
      </c>
      <c r="I54" s="48" t="n">
        <v>-0.0348</v>
      </c>
      <c r="J54" s="41" t="n">
        <v>1338.6</v>
      </c>
      <c r="K54" s="41" t="n">
        <v>-45</v>
      </c>
      <c r="L54" s="41" t="n">
        <v>645</v>
      </c>
      <c r="M54" s="41" t="n">
        <v>816</v>
      </c>
      <c r="N54" s="43" t="n">
        <v>1</v>
      </c>
    </row>
    <row r="55" customFormat="false" ht="18" hidden="false" customHeight="true" outlineLevel="0" collapsed="false">
      <c r="A55" s="44" t="s">
        <v>20</v>
      </c>
      <c r="B55" s="44" t="s">
        <v>81</v>
      </c>
      <c r="C55" s="45" t="n">
        <v>744.04</v>
      </c>
      <c r="D55" s="45" t="n">
        <v>761.54</v>
      </c>
      <c r="E55" s="45" t="n">
        <v>1505.58</v>
      </c>
      <c r="F55" s="45" t="n">
        <v>632.434</v>
      </c>
      <c r="G55" s="45" t="n">
        <v>600</v>
      </c>
      <c r="H55" s="45" t="n">
        <v>1232.43</v>
      </c>
      <c r="I55" s="49" t="n">
        <v>-0.0826</v>
      </c>
      <c r="J55" s="45" t="n">
        <v>1334.22</v>
      </c>
      <c r="K55" s="45" t="n">
        <v>-101.79</v>
      </c>
      <c r="L55" s="45" t="n">
        <v>701.79</v>
      </c>
      <c r="M55" s="45" t="n">
        <v>743.61</v>
      </c>
      <c r="N55" s="47" t="n">
        <v>1</v>
      </c>
    </row>
  </sheetData>
  <autoFilter ref="A1:N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B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3"/>
  </cols>
  <sheetData>
    <row r="1" customFormat="false" ht="39.75" hidden="false" customHeight="true" outlineLevel="0" collapsed="false">
      <c r="B1" s="51" t="s">
        <v>82</v>
      </c>
      <c r="C1" s="51"/>
      <c r="D1" s="51"/>
    </row>
    <row r="2" customFormat="false" ht="18" hidden="false" customHeight="true" outlineLevel="0" collapsed="false">
      <c r="B2" s="2" t="s">
        <v>83</v>
      </c>
      <c r="C2" s="2"/>
      <c r="D2" s="2"/>
    </row>
    <row r="3" customFormat="false" ht="13.5" hidden="false" customHeight="true" outlineLevel="0" collapsed="false"/>
    <row r="4" customFormat="false" ht="19.5" hidden="false" customHeight="true" outlineLevel="0" collapsed="false">
      <c r="B4" s="52" t="s">
        <v>84</v>
      </c>
      <c r="C4" s="52" t="s">
        <v>38</v>
      </c>
      <c r="D4" s="52" t="s">
        <v>85</v>
      </c>
    </row>
    <row r="5" customFormat="false" ht="21.75" hidden="false" customHeight="true" outlineLevel="0" collapsed="false">
      <c r="B5" s="30" t="s">
        <v>33</v>
      </c>
      <c r="C5" s="53" t="n">
        <v>156.25</v>
      </c>
      <c r="D5" s="3" t="s">
        <v>86</v>
      </c>
    </row>
    <row r="6" customFormat="false" ht="21.75" hidden="false" customHeight="true" outlineLevel="0" collapsed="false">
      <c r="B6" s="27" t="s">
        <v>34</v>
      </c>
      <c r="C6" s="26" t="n">
        <v>0.4</v>
      </c>
      <c r="D6" s="28" t="s">
        <v>87</v>
      </c>
    </row>
    <row r="7" customFormat="false" ht="21.75" hidden="false" customHeight="true" outlineLevel="0" collapsed="false">
      <c r="B7" s="30" t="s">
        <v>88</v>
      </c>
      <c r="C7" s="26" t="n">
        <v>0.16</v>
      </c>
      <c r="D7" s="3" t="s">
        <v>89</v>
      </c>
    </row>
    <row r="8" customFormat="false" ht="21.75" hidden="false" customHeight="true" outlineLevel="0" collapsed="false">
      <c r="B8" s="27" t="s">
        <v>90</v>
      </c>
      <c r="C8" s="26" t="n">
        <v>0.15</v>
      </c>
      <c r="D8" s="28" t="s">
        <v>91</v>
      </c>
    </row>
    <row r="9" customFormat="false" ht="21.75" hidden="false" customHeight="true" outlineLevel="0" collapsed="false">
      <c r="B9" s="30" t="s">
        <v>92</v>
      </c>
      <c r="C9" s="54" t="n">
        <v>160</v>
      </c>
      <c r="D9" s="3" t="s">
        <v>93</v>
      </c>
    </row>
    <row r="10" customFormat="false" ht="21.75" hidden="false" customHeight="true" outlineLevel="0" collapsed="false">
      <c r="B10" s="27" t="s">
        <v>94</v>
      </c>
      <c r="C10" s="54" t="n">
        <v>5</v>
      </c>
      <c r="D10" s="28" t="s">
        <v>95</v>
      </c>
    </row>
    <row r="12" customFormat="false" ht="15" hidden="false" customHeight="false" outlineLevel="0" collapsed="false">
      <c r="B12" s="55" t="s">
        <v>96</v>
      </c>
      <c r="C12" s="55"/>
      <c r="D12" s="55"/>
    </row>
  </sheetData>
  <mergeCells count="3">
    <mergeCell ref="B1:D1"/>
    <mergeCell ref="B2:D2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2026-03-26T18:21:17Z</dcterms:created>
  <dc:creator>openpyxl</dc:creator>
  <dc:description/>
  <dc:language>en-US</dc:language>
  <cp:lastModifiedBy/>
  <dcterms:modified xsi:type="dcterms:W3CDTF">2026-03-26T18:40:26Z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